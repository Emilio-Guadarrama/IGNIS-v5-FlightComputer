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NIS V5 parts" sheetId="1" r:id="rId5"/>
  </sheets>
  <definedNames/>
  <calcPr/>
</workbook>
</file>

<file path=xl/sharedStrings.xml><?xml version="1.0" encoding="utf-8"?>
<sst xmlns="http://schemas.openxmlformats.org/spreadsheetml/2006/main" count="404" uniqueCount="213">
  <si>
    <t>IGNIS V5 component list</t>
  </si>
  <si>
    <t>Mouser, DigiKey and SnapMagic links open a search for the exact part number. Stock checked Sep 25, 2026.</t>
  </si>
  <si>
    <t>Status</t>
  </si>
  <si>
    <t>Component name</t>
  </si>
  <si>
    <t>ID # (part number)</t>
  </si>
  <si>
    <t>Designator on schematic</t>
  </si>
  <si>
    <t>#</t>
  </si>
  <si>
    <t>LCSC</t>
  </si>
  <si>
    <t>UNIT Electronics</t>
  </si>
  <si>
    <t>Mouser MX</t>
  </si>
  <si>
    <t>DigiKey MX</t>
  </si>
  <si>
    <t>SnapMagic (symbol + footprint)</t>
  </si>
  <si>
    <t>Notes</t>
  </si>
  <si>
    <t>MICROCONTROLLER</t>
  </si>
  <si>
    <t>Keep</t>
  </si>
  <si>
    <t>ESP32-S3 module 16 MB / 8 MB PSRAM</t>
  </si>
  <si>
    <t>ESP32-S3-WROOM-1-N16R8</t>
  </si>
  <si>
    <t>MCU1</t>
  </si>
  <si>
    <t>C2913202</t>
  </si>
  <si>
    <t>UNIT</t>
  </si>
  <si>
    <t>Mouser</t>
  </si>
  <si>
    <t>DigiKey</t>
  </si>
  <si>
    <t>SnapMagic</t>
  </si>
  <si>
    <t>Fix USB D+/D− swap on Main sheet</t>
  </si>
  <si>
    <t>POWER</t>
  </si>
  <si>
    <t>LDO 5 V</t>
  </si>
  <si>
    <t>AMS1117-5.0</t>
  </si>
  <si>
    <t>U1</t>
  </si>
  <si>
    <t>C6187</t>
  </si>
  <si>
    <t>Kept for V5. Large copper + thermal vias; thermal test decides V6</t>
  </si>
  <si>
    <t>LDO 3.3 V</t>
  </si>
  <si>
    <t>AMS1117-3.3</t>
  </si>
  <si>
    <t>U2</t>
  </si>
  <si>
    <t>C6186</t>
  </si>
  <si>
    <t>Kept (user decision)</t>
  </si>
  <si>
    <t>Changed</t>
  </si>
  <si>
    <t>Schottky 40 V / 2 A SMA</t>
  </si>
  <si>
    <t>SS24</t>
  </si>
  <si>
    <t>D1</t>
  </si>
  <si>
    <t>C50645</t>
  </si>
  <si>
    <t>SMA footprint (replaces SS24SHE3_B/H)</t>
  </si>
  <si>
    <t>New</t>
  </si>
  <si>
    <t>USB ESD diode 5 V bidirectional (one per data line)</t>
  </si>
  <si>
    <t>ESD9B5.0ST5G</t>
  </si>
  <si>
    <t>D9, D10 (new)</t>
  </si>
  <si>
    <t>C111566</t>
  </si>
  <si>
    <t>SOD-923, 15 pF — fine for USB full-speed. Alt: USBLC6-2SC6 (C7519)</t>
  </si>
  <si>
    <t>CONNECTORS</t>
  </si>
  <si>
    <t>USB-C 16-pin (USB 2.0)</t>
  </si>
  <si>
    <t>TYPE-C-31-M-12</t>
  </si>
  <si>
    <t>J1</t>
  </si>
  <si>
    <t>C165948</t>
  </si>
  <si>
    <t>SMA edge connector 50 Ω</t>
  </si>
  <si>
    <t>BWSMA-KE-Z001</t>
  </si>
  <si>
    <t>J2</t>
  </si>
  <si>
    <t>C496549</t>
  </si>
  <si>
    <t>UNIT listing is generic SMA — confirm edge-mount</t>
  </si>
  <si>
    <t>MicroSD socket push-push</t>
  </si>
  <si>
    <t>THD2528-11SD-GF</t>
  </si>
  <si>
    <t>J3</t>
  </si>
  <si>
    <t>C283232</t>
  </si>
  <si>
    <t>Pin 9 CD → SD_DETECT (IO42) with R28 as 10 k pull-UP; shell pads MP1–4 to GND. Check CD polarity with a meter. Tape card for flight</t>
  </si>
  <si>
    <t>JST-SH 4-pin right-angle (debug UART)</t>
  </si>
  <si>
    <t>SM04B-SRSS-TB(LF)(SN)</t>
  </si>
  <si>
    <t>J4</t>
  </si>
  <si>
    <t>C160404</t>
  </si>
  <si>
    <t>Screw terminal 4-pin, fixed, 3.81 mm pitch (e-match leads)</t>
  </si>
  <si>
    <t>DB125-3.81-4P-GN-S</t>
  </si>
  <si>
    <t>P1</t>
  </si>
  <si>
    <t>C395880</t>
  </si>
  <si>
    <t>—</t>
  </si>
  <si>
    <t>DORABO, fixed screw terminal (not pluggable, so nothing can loosen in flight). 3.81 mm pitch, 10 A, 300 V, 16–26 AWG, M2 screws. LCSC ~36,495 in stock (Sep 26, 2026). Replaces Dinkle EC381V-04P-BL (C7178935, out of stock). Use this part's own footprint (EasyEDA/SnapMagic): same pitch, but body and hole sizes can differ. Fallback: leave unassembled at JLCPCB and hand-solder in Mexico. Pinout: 1 VBAT, 2 EMATCH_CH1_N, 3 VBAT, 4 EMATCH_CH2_N. Not at UNIT.</t>
  </si>
  <si>
    <t>XT30 locking/waterproof male connector (battery pigtail, off-board)</t>
  </si>
  <si>
    <t>XT30APW-M</t>
  </si>
  <si>
    <t>J5</t>
  </si>
  <si>
    <t>C5818955</t>
  </si>
  <si>
    <t>Locking tab recommended for vibration resistance on the battery-side pigtail. Not at UNIT as the locking APW variant (standard XT30U pair only) — build pigtail by hand</t>
  </si>
  <si>
    <t>RF &amp; GPS</t>
  </si>
  <si>
    <t>LoRa transceiver 915 MHz</t>
  </si>
  <si>
    <t>RFM95W-915S2</t>
  </si>
  <si>
    <t>U4</t>
  </si>
  <si>
    <t>C6760738</t>
  </si>
  <si>
    <t>Same footprint; hand-solder</t>
  </si>
  <si>
    <t>GNSS module with patch antenna</t>
  </si>
  <si>
    <t>SAM-M10Q-00B</t>
  </si>
  <si>
    <t>U9</t>
  </si>
  <si>
    <t>C5443880</t>
  </si>
  <si>
    <t>LCSC 10 pcs @ $23; Mouser 5,005 @ $10.92. Rename RESET/EXTINT nets</t>
  </si>
  <si>
    <t>SENSORS</t>
  </si>
  <si>
    <t>6-axis IMU ±32 g / ±4000 dps</t>
  </si>
  <si>
    <t>LSM6DSV32XTR</t>
  </si>
  <si>
    <t>U10</t>
  </si>
  <si>
    <t>C22461202</t>
  </si>
  <si>
    <t>LCSC ~5,963 @ $4.39. LGA-14 2.5×3. Spares: buy on LCSC. Backup: LSM6DSO32TR (C1864162)</t>
  </si>
  <si>
    <t>Barometric pressure sensor</t>
  </si>
  <si>
    <t>DPS368XTSA1</t>
  </si>
  <si>
    <t>U11</t>
  </si>
  <si>
    <t>C3232508</t>
  </si>
  <si>
    <t>JLCPCB places it. Pin/footprint-identical to BMP280 (UNIT AR2339 as hand-fit alternate). SDO low → 0x76. Firmware reads chip ID</t>
  </si>
  <si>
    <t>INDICATORS</t>
  </si>
  <si>
    <t>Addressable RGB LED 5050</t>
  </si>
  <si>
    <t>WS2812B-B/T</t>
  </si>
  <si>
    <t>LED1, LED2, LED3</t>
  </si>
  <si>
    <t>C2761795</t>
  </si>
  <si>
    <t>Rename footprint LED3535→LED5050</t>
  </si>
  <si>
    <t>Magnetic buzzer 2.7 kHz (passive)</t>
  </si>
  <si>
    <t>MLT-8530</t>
  </si>
  <si>
    <t>LS1</t>
  </si>
  <si>
    <t>C94599</t>
  </si>
  <si>
    <t>Rated 3.6 V: move to VCC_3V3. Not at UNIT</t>
  </si>
  <si>
    <t>Red LED 0805</t>
  </si>
  <si>
    <t>NCD0805R1</t>
  </si>
  <si>
    <t>D2, D3, D4, D6, D7, D8</t>
  </si>
  <si>
    <t>C84256</t>
  </si>
  <si>
    <t>Switching diode (buzzer flyback)</t>
  </si>
  <si>
    <t>1N4148W</t>
  </si>
  <si>
    <t>D5</t>
  </si>
  <si>
    <t>C81598</t>
  </si>
  <si>
    <t>TRANSISTORS &amp; PYRO</t>
  </si>
  <si>
    <t>NPN 25 V / 500 mA</t>
  </si>
  <si>
    <t>S8050</t>
  </si>
  <si>
    <t>Q1, Q4</t>
  </si>
  <si>
    <t>C2146</t>
  </si>
  <si>
    <t>PNP 25 V / 1.5 A</t>
  </si>
  <si>
    <t>SS8550</t>
  </si>
  <si>
    <t>Q3, Q6</t>
  </si>
  <si>
    <t>C8542</t>
  </si>
  <si>
    <t>N-MOSFET 60 V / 5 A (SOT-223)</t>
  </si>
  <si>
    <t>NCE6005AR</t>
  </si>
  <si>
    <t>Q2, Q5</t>
  </si>
  <si>
    <t>C189606</t>
  </si>
  <si>
    <t>N-MOSFET 30 V / 270 mA (SC-70)</t>
  </si>
  <si>
    <t>NTS4001NT1G</t>
  </si>
  <si>
    <t>Q7</t>
  </si>
  <si>
    <t>C116738</t>
  </si>
  <si>
    <t>Not at UNIT, but it is from the SMD Buzzer module</t>
  </si>
  <si>
    <t>Optocoupler SMD-4, CTR GB 100–600 %</t>
  </si>
  <si>
    <t>TLP521GB-S (UMW)</t>
  </si>
  <si>
    <t>U5, U6, U7, U8</t>
  </si>
  <si>
    <t>C364143</t>
  </si>
  <si>
    <t>JLCPCB supplies from LCSC</t>
  </si>
  <si>
    <t>Button /  Tactile switch</t>
  </si>
  <si>
    <t>SKRPABE010</t>
  </si>
  <si>
    <t>S1, S2</t>
  </si>
  <si>
    <t>C115360</t>
  </si>
  <si>
    <t>RESISTORS 0603 1 %</t>
  </si>
  <si>
    <t>Resistor 5.1 kΩ</t>
  </si>
  <si>
    <t>0603WAF5101T5E</t>
  </si>
  <si>
    <t>R1, R2</t>
  </si>
  <si>
    <t>C23186</t>
  </si>
  <si>
    <t>Generic — use your 0603/0805 library</t>
  </si>
  <si>
    <t>Resistor 22 Ω</t>
  </si>
  <si>
    <t>0603WAF220JT5E</t>
  </si>
  <si>
    <t>R3, R4</t>
  </si>
  <si>
    <t>C23345</t>
  </si>
  <si>
    <t>Resistor 33 Ω</t>
  </si>
  <si>
    <t>0603WAF330JT5E</t>
  </si>
  <si>
    <t>R29</t>
  </si>
  <si>
    <t>C23140</t>
  </si>
  <si>
    <t>Resistor 100 Ω</t>
  </si>
  <si>
    <t>0603WAF1000T5E</t>
  </si>
  <si>
    <t>R12, R17, R38, R40</t>
  </si>
  <si>
    <t>C22775</t>
  </si>
  <si>
    <t>Resistor 470 Ω</t>
  </si>
  <si>
    <t>0603WAF4700T5E</t>
  </si>
  <si>
    <t>R33, R34</t>
  </si>
  <si>
    <t>C23179</t>
  </si>
  <si>
    <t>Resistor 680 Ω</t>
  </si>
  <si>
    <t>0603WAF6800T5E</t>
  </si>
  <si>
    <t>R15, R20</t>
  </si>
  <si>
    <t>C23228</t>
  </si>
  <si>
    <t>Resistor 1 kΩ</t>
  </si>
  <si>
    <t>0603WAF1001T5E</t>
  </si>
  <si>
    <t>R11, R13, R14, R16, R18, R19, R31, R32, R37, R39</t>
  </si>
  <si>
    <t>C21190</t>
  </si>
  <si>
    <t>Resistor 4.7 kΩ</t>
  </si>
  <si>
    <t>0603WAF4701T5E</t>
  </si>
  <si>
    <t>R10, R21, R22</t>
  </si>
  <si>
    <t>C23162</t>
  </si>
  <si>
    <t>Resistor 10 kΩ</t>
  </si>
  <si>
    <t>0603WAF1002T5E</t>
  </si>
  <si>
    <t>R7, R8, R23, R24, R25, R26, R27, R28, R30, R35, R36</t>
  </si>
  <si>
    <t>C25804</t>
  </si>
  <si>
    <t>Resistor 47 kΩ</t>
  </si>
  <si>
    <t>0603WAF4702T5E</t>
  </si>
  <si>
    <t>R5</t>
  </si>
  <si>
    <t>C25819</t>
  </si>
  <si>
    <t>Resistor 100 kΩ</t>
  </si>
  <si>
    <t>0603WAF1003T5E</t>
  </si>
  <si>
    <t>R6</t>
  </si>
  <si>
    <t>C25803</t>
  </si>
  <si>
    <t>CAPACITORS 0805</t>
  </si>
  <si>
    <t>Capacitor 100 nF 50 V X7R</t>
  </si>
  <si>
    <t>CC0805KRX7R9BB104</t>
  </si>
  <si>
    <t>C2, C4, C6, C8, C9, C11, C13, C14, C20, C21, C22, C23, C28, C29, C30, C31, C32, C33, C34</t>
  </si>
  <si>
    <t>C49678</t>
  </si>
  <si>
    <t>Capacitor 10 µF 25 V X5R</t>
  </si>
  <si>
    <t>CL21A106KAYNNNE</t>
  </si>
  <si>
    <t>C1, C5, C7, C15, C24, C25, C26</t>
  </si>
  <si>
    <t>C15850</t>
  </si>
  <si>
    <t>UNIT part is TMK212BBJ106KG-T (same spec)</t>
  </si>
  <si>
    <t>Capacitor 22 µF 25 V X5R</t>
  </si>
  <si>
    <t>CL21A226MAQNNNE</t>
  </si>
  <si>
    <t>C3, C12, C19</t>
  </si>
  <si>
    <t>C45783</t>
  </si>
  <si>
    <t>C3 raised from 10 µF</t>
  </si>
  <si>
    <t>Capacitor 1 µF 50 V X7R</t>
  </si>
  <si>
    <t>CL21B105KBFNNNE</t>
  </si>
  <si>
    <t>C10</t>
  </si>
  <si>
    <t>C28323</t>
  </si>
  <si>
    <t>UNIT part is TCC0805X7R105K500DTS (same spec)</t>
  </si>
  <si>
    <t>Parts on V5 board (excl. red and yellow rows)</t>
  </si>
  <si>
    <t>Parts found at UNIT Electronics (lines)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</si>
</sst>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/>
    <font>
      <sz val="10.0"/>
      <color theme="1"/>
      <name val="Arial"/>
    </font>
    <font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bottom" wrapText="0"/>
    </xf>
    <xf borderId="3" fillId="0" fontId="6" numFmtId="0" xfId="0" applyBorder="1" applyFont="1"/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1" fillId="4" fontId="10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11" numFmtId="0" xfId="0" applyAlignment="1" applyFont="1">
      <alignment shrinkToFit="0" vertical="top" wrapText="1"/>
    </xf>
    <xf borderId="4" fillId="4" fontId="2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napeda.com/search/?q=THD2528-11SD-GF" TargetMode="External"/><Relationship Id="rId42" Type="http://schemas.openxmlformats.org/officeDocument/2006/relationships/hyperlink" Target="https://uelectronics.com/producto/conector-jst-sr-4-pines-horizontal-sm04b-srss-tblfsn/" TargetMode="External"/><Relationship Id="rId41" Type="http://schemas.openxmlformats.org/officeDocument/2006/relationships/hyperlink" Target="https://www.lcsc.com/product-detail/C160404.html" TargetMode="External"/><Relationship Id="rId44" Type="http://schemas.openxmlformats.org/officeDocument/2006/relationships/hyperlink" Target="https://www.digikey.com.mx/es/products/result?keywords=SM04B-SRSS-TB%28LF%29%28SN%29" TargetMode="External"/><Relationship Id="rId43" Type="http://schemas.openxmlformats.org/officeDocument/2006/relationships/hyperlink" Target="https://www.mouser.mx/c/?q=SM04B-SRSS-TB%28LF%29%28SN%29" TargetMode="External"/><Relationship Id="rId46" Type="http://schemas.openxmlformats.org/officeDocument/2006/relationships/hyperlink" Target="https://www.lcsc.com/product-detail/C395880.html" TargetMode="External"/><Relationship Id="rId45" Type="http://schemas.openxmlformats.org/officeDocument/2006/relationships/hyperlink" Target="https://www.snapeda.com/search/?q=SM04B-SRSS-TB%28LF%29%28SN%29" TargetMode="External"/><Relationship Id="rId107" Type="http://schemas.openxmlformats.org/officeDocument/2006/relationships/hyperlink" Target="https://www.snapeda.com/search/?q=NCE6005AR" TargetMode="External"/><Relationship Id="rId106" Type="http://schemas.openxmlformats.org/officeDocument/2006/relationships/hyperlink" Target="https://www.digikey.com.mx/es/products/result?keywords=NCE6005AR" TargetMode="External"/><Relationship Id="rId105" Type="http://schemas.openxmlformats.org/officeDocument/2006/relationships/hyperlink" Target="https://www.mouser.mx/c/?q=NCE6005AR" TargetMode="External"/><Relationship Id="rId104" Type="http://schemas.openxmlformats.org/officeDocument/2006/relationships/hyperlink" Target="https://uelectronics.com/producto/mosfet-n-60v-5a-smd-nce6005ar/" TargetMode="External"/><Relationship Id="rId109" Type="http://schemas.openxmlformats.org/officeDocument/2006/relationships/hyperlink" Target="https://uelectronics.com/producto/unit-devlab-80db-passive-buzzer-module/" TargetMode="External"/><Relationship Id="rId108" Type="http://schemas.openxmlformats.org/officeDocument/2006/relationships/hyperlink" Target="https://www.lcsc.com/product-detail/C116738.html" TargetMode="External"/><Relationship Id="rId48" Type="http://schemas.openxmlformats.org/officeDocument/2006/relationships/hyperlink" Target="https://www.digikey.com.mx/es/products/result?keywords=DB125-3.81-4P-GN-S" TargetMode="External"/><Relationship Id="rId47" Type="http://schemas.openxmlformats.org/officeDocument/2006/relationships/hyperlink" Target="https://www.mouser.mx/c/?q=DB125-3.81-4P-GN-S" TargetMode="External"/><Relationship Id="rId49" Type="http://schemas.openxmlformats.org/officeDocument/2006/relationships/hyperlink" Target="https://www.snapeda.com/search/?q=DB125-3.81-4P" TargetMode="External"/><Relationship Id="rId103" Type="http://schemas.openxmlformats.org/officeDocument/2006/relationships/hyperlink" Target="https://www.lcsc.com/product-detail/C189606.html" TargetMode="External"/><Relationship Id="rId102" Type="http://schemas.openxmlformats.org/officeDocument/2006/relationships/hyperlink" Target="https://www.snapeda.com/search/?q=SS8550" TargetMode="External"/><Relationship Id="rId101" Type="http://schemas.openxmlformats.org/officeDocument/2006/relationships/hyperlink" Target="https://www.digikey.com.mx/es/products/result?keywords=SS8550" TargetMode="External"/><Relationship Id="rId100" Type="http://schemas.openxmlformats.org/officeDocument/2006/relationships/hyperlink" Target="https://www.mouser.mx/c/?q=SS8550" TargetMode="External"/><Relationship Id="rId31" Type="http://schemas.openxmlformats.org/officeDocument/2006/relationships/hyperlink" Target="https://www.lcsc.com/product-detail/C496549.html" TargetMode="External"/><Relationship Id="rId30" Type="http://schemas.openxmlformats.org/officeDocument/2006/relationships/hyperlink" Target="https://www.snapeda.com/search/?q=TYPE-C-31-M-12" TargetMode="External"/><Relationship Id="rId33" Type="http://schemas.openxmlformats.org/officeDocument/2006/relationships/hyperlink" Target="https://www.mouser.mx/c/?q=BWSMA-KE-Z001" TargetMode="External"/><Relationship Id="rId183" Type="http://schemas.openxmlformats.org/officeDocument/2006/relationships/drawing" Target="../drawings/drawing1.xml"/><Relationship Id="rId32" Type="http://schemas.openxmlformats.org/officeDocument/2006/relationships/hyperlink" Target="https://uelectronics.com/producto/conectores-sma-hembra-vertical-y-horizontal/" TargetMode="External"/><Relationship Id="rId182" Type="http://schemas.openxmlformats.org/officeDocument/2006/relationships/hyperlink" Target="https://www.digikey.com.mx/es/products/result?keywords=CL21B105KBFNNNE" TargetMode="External"/><Relationship Id="rId35" Type="http://schemas.openxmlformats.org/officeDocument/2006/relationships/hyperlink" Target="https://www.snapeda.com/search/?q=BWSMA-KE-Z001" TargetMode="External"/><Relationship Id="rId181" Type="http://schemas.openxmlformats.org/officeDocument/2006/relationships/hyperlink" Target="https://www.mouser.mx/c/?q=CL21B105KBFNNNE" TargetMode="External"/><Relationship Id="rId34" Type="http://schemas.openxmlformats.org/officeDocument/2006/relationships/hyperlink" Target="https://www.digikey.com.mx/es/products/result?keywords=BWSMA-KE-Z001" TargetMode="External"/><Relationship Id="rId180" Type="http://schemas.openxmlformats.org/officeDocument/2006/relationships/hyperlink" Target="https://uelectronics.com/producto/capacitor-ceramico-0805-1uf-50v-tcc0805x7r105k500dts/" TargetMode="External"/><Relationship Id="rId37" Type="http://schemas.openxmlformats.org/officeDocument/2006/relationships/hyperlink" Target="https://uelectronics.com/producto/thd2528-11sd-gf-conector-para-memoria-micro-sd/" TargetMode="External"/><Relationship Id="rId176" Type="http://schemas.openxmlformats.org/officeDocument/2006/relationships/hyperlink" Target="https://uelectronics.com/producto/cl21a226maqnnne-capacitor-ceramico-0805-22uf-25v/" TargetMode="External"/><Relationship Id="rId36" Type="http://schemas.openxmlformats.org/officeDocument/2006/relationships/hyperlink" Target="https://www.lcsc.com/product-detail/C283232.html" TargetMode="External"/><Relationship Id="rId175" Type="http://schemas.openxmlformats.org/officeDocument/2006/relationships/hyperlink" Target="https://www.lcsc.com/product-detail/C45783.html" TargetMode="External"/><Relationship Id="rId39" Type="http://schemas.openxmlformats.org/officeDocument/2006/relationships/hyperlink" Target="https://www.digikey.com.mx/es/products/result?keywords=THD2528-11SD-GF" TargetMode="External"/><Relationship Id="rId174" Type="http://schemas.openxmlformats.org/officeDocument/2006/relationships/hyperlink" Target="https://www.digikey.com.mx/es/products/result?keywords=CL21A106KAYNNNE" TargetMode="External"/><Relationship Id="rId38" Type="http://schemas.openxmlformats.org/officeDocument/2006/relationships/hyperlink" Target="https://www.mouser.mx/c/?q=THD2528-11SD-GF" TargetMode="External"/><Relationship Id="rId173" Type="http://schemas.openxmlformats.org/officeDocument/2006/relationships/hyperlink" Target="https://www.mouser.mx/c/?q=CL21A106KAYNNNE" TargetMode="External"/><Relationship Id="rId179" Type="http://schemas.openxmlformats.org/officeDocument/2006/relationships/hyperlink" Target="https://www.lcsc.com/product-detail/C28323.html" TargetMode="External"/><Relationship Id="rId178" Type="http://schemas.openxmlformats.org/officeDocument/2006/relationships/hyperlink" Target="https://www.digikey.com.mx/es/products/result?keywords=CL21A226MAQNNNE" TargetMode="External"/><Relationship Id="rId177" Type="http://schemas.openxmlformats.org/officeDocument/2006/relationships/hyperlink" Target="https://www.mouser.mx/c/?q=CL21A226MAQNNNE" TargetMode="External"/><Relationship Id="rId20" Type="http://schemas.openxmlformats.org/officeDocument/2006/relationships/hyperlink" Target="https://www.snapeda.com/search/?q=SS24" TargetMode="External"/><Relationship Id="rId22" Type="http://schemas.openxmlformats.org/officeDocument/2006/relationships/hyperlink" Target="https://uelectronics.com/producto/diodo-esd-smdesd9b5-0st5g/" TargetMode="External"/><Relationship Id="rId21" Type="http://schemas.openxmlformats.org/officeDocument/2006/relationships/hyperlink" Target="https://www.lcsc.com/product-detail/C111566.html" TargetMode="External"/><Relationship Id="rId24" Type="http://schemas.openxmlformats.org/officeDocument/2006/relationships/hyperlink" Target="https://www.digikey.com.mx/es/products/result?keywords=ESD9B5.0ST5G" TargetMode="External"/><Relationship Id="rId23" Type="http://schemas.openxmlformats.org/officeDocument/2006/relationships/hyperlink" Target="https://www.mouser.mx/c/?q=ESD9B5.0ST5G" TargetMode="External"/><Relationship Id="rId129" Type="http://schemas.openxmlformats.org/officeDocument/2006/relationships/hyperlink" Target="https://www.mouser.mx/c/?q=0603WAF220JT5E" TargetMode="External"/><Relationship Id="rId128" Type="http://schemas.openxmlformats.org/officeDocument/2006/relationships/hyperlink" Target="https://uelectronics.com/producto/resistencias-smd-0603/" TargetMode="External"/><Relationship Id="rId127" Type="http://schemas.openxmlformats.org/officeDocument/2006/relationships/hyperlink" Target="https://www.lcsc.com/product-detail/C23345.html" TargetMode="External"/><Relationship Id="rId126" Type="http://schemas.openxmlformats.org/officeDocument/2006/relationships/hyperlink" Target="https://www.digikey.com.mx/es/products/result?keywords=0603WAF5101T5E" TargetMode="External"/><Relationship Id="rId26" Type="http://schemas.openxmlformats.org/officeDocument/2006/relationships/hyperlink" Target="https://www.lcsc.com/product-detail/C165948.html" TargetMode="External"/><Relationship Id="rId121" Type="http://schemas.openxmlformats.org/officeDocument/2006/relationships/hyperlink" Target="https://www.digikey.com.mx/es/products/result?keywords=SKRPABE010" TargetMode="External"/><Relationship Id="rId25" Type="http://schemas.openxmlformats.org/officeDocument/2006/relationships/hyperlink" Target="https://www.snapeda.com/search/?q=ESD9B5.0ST5G" TargetMode="External"/><Relationship Id="rId120" Type="http://schemas.openxmlformats.org/officeDocument/2006/relationships/hyperlink" Target="https://www.mouser.mx/c/?q=SKRPABE010" TargetMode="External"/><Relationship Id="rId28" Type="http://schemas.openxmlformats.org/officeDocument/2006/relationships/hyperlink" Target="https://www.mouser.mx/c/?q=TYPE-C-31-M-12" TargetMode="External"/><Relationship Id="rId27" Type="http://schemas.openxmlformats.org/officeDocument/2006/relationships/hyperlink" Target="https://uelectronics.com/producto/conector-usb-tipo-hembra-smd-type-c-31-m-12/" TargetMode="External"/><Relationship Id="rId125" Type="http://schemas.openxmlformats.org/officeDocument/2006/relationships/hyperlink" Target="https://www.mouser.mx/c/?q=0603WAF5101T5E" TargetMode="External"/><Relationship Id="rId29" Type="http://schemas.openxmlformats.org/officeDocument/2006/relationships/hyperlink" Target="https://www.digikey.com.mx/es/products/result?keywords=TYPE-C-31-M-12" TargetMode="External"/><Relationship Id="rId124" Type="http://schemas.openxmlformats.org/officeDocument/2006/relationships/hyperlink" Target="https://uelectronics.com/producto/resistencias-smd-0603/" TargetMode="External"/><Relationship Id="rId123" Type="http://schemas.openxmlformats.org/officeDocument/2006/relationships/hyperlink" Target="https://www.lcsc.com/product-detail/C23186.html" TargetMode="External"/><Relationship Id="rId122" Type="http://schemas.openxmlformats.org/officeDocument/2006/relationships/hyperlink" Target="https://www.snapeda.com/search/?q=SKRPABE010" TargetMode="External"/><Relationship Id="rId95" Type="http://schemas.openxmlformats.org/officeDocument/2006/relationships/hyperlink" Target="https://www.mouser.mx/c/?q=S8050" TargetMode="External"/><Relationship Id="rId94" Type="http://schemas.openxmlformats.org/officeDocument/2006/relationships/hyperlink" Target="https://uelectronics.com/producto/transistor-npn-500ma-25v-s8050/" TargetMode="External"/><Relationship Id="rId97" Type="http://schemas.openxmlformats.org/officeDocument/2006/relationships/hyperlink" Target="https://www.snapeda.com/search/?q=S8050" TargetMode="External"/><Relationship Id="rId96" Type="http://schemas.openxmlformats.org/officeDocument/2006/relationships/hyperlink" Target="https://www.digikey.com.mx/es/products/result?keywords=S8050" TargetMode="External"/><Relationship Id="rId11" Type="http://schemas.openxmlformats.org/officeDocument/2006/relationships/hyperlink" Target="https://www.lcsc.com/product-detail/C6186.html" TargetMode="External"/><Relationship Id="rId99" Type="http://schemas.openxmlformats.org/officeDocument/2006/relationships/hyperlink" Target="https://uelectronics.com/producto/transistor-pnp-1-5a-25v-ss8550/" TargetMode="External"/><Relationship Id="rId10" Type="http://schemas.openxmlformats.org/officeDocument/2006/relationships/hyperlink" Target="https://www.snapeda.com/search/?q=AMS1117-5.0" TargetMode="External"/><Relationship Id="rId98" Type="http://schemas.openxmlformats.org/officeDocument/2006/relationships/hyperlink" Target="https://www.lcsc.com/product-detail/C8542.html" TargetMode="External"/><Relationship Id="rId13" Type="http://schemas.openxmlformats.org/officeDocument/2006/relationships/hyperlink" Target="https://www.mouser.mx/c/?q=AMS1117-3.3" TargetMode="External"/><Relationship Id="rId12" Type="http://schemas.openxmlformats.org/officeDocument/2006/relationships/hyperlink" Target="https://uelectronics.com/producto/ams1117-regulador-smd-3-3v-1a-sot-223/" TargetMode="External"/><Relationship Id="rId91" Type="http://schemas.openxmlformats.org/officeDocument/2006/relationships/hyperlink" Target="https://www.digikey.com.mx/es/products/result?keywords=1N4148W" TargetMode="External"/><Relationship Id="rId90" Type="http://schemas.openxmlformats.org/officeDocument/2006/relationships/hyperlink" Target="https://www.mouser.mx/c/?q=1N4148W" TargetMode="External"/><Relationship Id="rId93" Type="http://schemas.openxmlformats.org/officeDocument/2006/relationships/hyperlink" Target="https://www.lcsc.com/product-detail/C2146.html" TargetMode="External"/><Relationship Id="rId92" Type="http://schemas.openxmlformats.org/officeDocument/2006/relationships/hyperlink" Target="https://www.snapeda.com/search/?q=1N4148W" TargetMode="External"/><Relationship Id="rId118" Type="http://schemas.openxmlformats.org/officeDocument/2006/relationships/hyperlink" Target="https://www.lcsc.com/product-detail/C115360.html" TargetMode="External"/><Relationship Id="rId117" Type="http://schemas.openxmlformats.org/officeDocument/2006/relationships/hyperlink" Target="https://www.snapeda.com/search/?q=TLP521GB-S+%28UMW%29" TargetMode="External"/><Relationship Id="rId116" Type="http://schemas.openxmlformats.org/officeDocument/2006/relationships/hyperlink" Target="https://www.digikey.com.mx/es/products/result?keywords=TLP521GB-S+%28UMW%29" TargetMode="External"/><Relationship Id="rId115" Type="http://schemas.openxmlformats.org/officeDocument/2006/relationships/hyperlink" Target="https://www.mouser.mx/c/?q=TLP521GB-S+%28UMW%29" TargetMode="External"/><Relationship Id="rId119" Type="http://schemas.openxmlformats.org/officeDocument/2006/relationships/hyperlink" Target="https://uelectronics.com/producto/skrpabe010-micro-switch-4-6x3-2x2-5-mm-smd/" TargetMode="External"/><Relationship Id="rId15" Type="http://schemas.openxmlformats.org/officeDocument/2006/relationships/hyperlink" Target="https://www.snapeda.com/search/?q=AMS1117-3.3" TargetMode="External"/><Relationship Id="rId110" Type="http://schemas.openxmlformats.org/officeDocument/2006/relationships/hyperlink" Target="https://www.mouser.mx/c/?q=NTS4001NT1G" TargetMode="External"/><Relationship Id="rId14" Type="http://schemas.openxmlformats.org/officeDocument/2006/relationships/hyperlink" Target="https://www.digikey.com.mx/es/products/result?keywords=AMS1117-3.3" TargetMode="External"/><Relationship Id="rId17" Type="http://schemas.openxmlformats.org/officeDocument/2006/relationships/hyperlink" Target="https://uelectronics.com/producto/schottky-40v-2a-sma-ss24/" TargetMode="External"/><Relationship Id="rId16" Type="http://schemas.openxmlformats.org/officeDocument/2006/relationships/hyperlink" Target="https://www.lcsc.com/product-detail/C50645.html" TargetMode="External"/><Relationship Id="rId19" Type="http://schemas.openxmlformats.org/officeDocument/2006/relationships/hyperlink" Target="https://www.digikey.com.mx/es/products/result?keywords=SS24" TargetMode="External"/><Relationship Id="rId114" Type="http://schemas.openxmlformats.org/officeDocument/2006/relationships/hyperlink" Target="https://uelectronics.com/producto/optoacoplador-a-transistor-smd-tlp521gb-s/" TargetMode="External"/><Relationship Id="rId18" Type="http://schemas.openxmlformats.org/officeDocument/2006/relationships/hyperlink" Target="https://www.mouser.mx/c/?q=SS24" TargetMode="External"/><Relationship Id="rId113" Type="http://schemas.openxmlformats.org/officeDocument/2006/relationships/hyperlink" Target="https://www.lcsc.com/product-detail/C364143.html" TargetMode="External"/><Relationship Id="rId112" Type="http://schemas.openxmlformats.org/officeDocument/2006/relationships/hyperlink" Target="https://www.snapeda.com/search/?q=NTS4001NT1G" TargetMode="External"/><Relationship Id="rId111" Type="http://schemas.openxmlformats.org/officeDocument/2006/relationships/hyperlink" Target="https://www.digikey.com.mx/es/products/result?keywords=NTS4001NT1G" TargetMode="External"/><Relationship Id="rId84" Type="http://schemas.openxmlformats.org/officeDocument/2006/relationships/hyperlink" Target="https://uelectronics.com/producto/led-rojo-smd-0805-ncd0805r1/" TargetMode="External"/><Relationship Id="rId83" Type="http://schemas.openxmlformats.org/officeDocument/2006/relationships/hyperlink" Target="https://www.lcsc.com/product-detail/C84256.html" TargetMode="External"/><Relationship Id="rId86" Type="http://schemas.openxmlformats.org/officeDocument/2006/relationships/hyperlink" Target="https://www.digikey.com.mx/es/products/result?keywords=NCD0805R1" TargetMode="External"/><Relationship Id="rId85" Type="http://schemas.openxmlformats.org/officeDocument/2006/relationships/hyperlink" Target="https://www.mouser.mx/c/?q=NCD0805R1" TargetMode="External"/><Relationship Id="rId88" Type="http://schemas.openxmlformats.org/officeDocument/2006/relationships/hyperlink" Target="https://www.lcsc.com/product-detail/C81598.html" TargetMode="External"/><Relationship Id="rId150" Type="http://schemas.openxmlformats.org/officeDocument/2006/relationships/hyperlink" Target="https://www.digikey.com.mx/es/products/result?keywords=0603WAF1001T5E" TargetMode="External"/><Relationship Id="rId87" Type="http://schemas.openxmlformats.org/officeDocument/2006/relationships/hyperlink" Target="https://www.snapeda.com/search/?q=NCD0805R1" TargetMode="External"/><Relationship Id="rId89" Type="http://schemas.openxmlformats.org/officeDocument/2006/relationships/hyperlink" Target="https://uelectronics.com/producto/1n4148w-diodo-75v-150ma-smd/" TargetMode="External"/><Relationship Id="rId80" Type="http://schemas.openxmlformats.org/officeDocument/2006/relationships/hyperlink" Target="https://www.mouser.mx/c/?q=MLT-8530" TargetMode="External"/><Relationship Id="rId82" Type="http://schemas.openxmlformats.org/officeDocument/2006/relationships/hyperlink" Target="https://www.snapeda.com/search/?q=MLT-8530" TargetMode="External"/><Relationship Id="rId81" Type="http://schemas.openxmlformats.org/officeDocument/2006/relationships/hyperlink" Target="https://www.digikey.com.mx/es/products/result?keywords=MLT-8530" TargetMode="External"/><Relationship Id="rId1" Type="http://schemas.openxmlformats.org/officeDocument/2006/relationships/hyperlink" Target="https://www.lcsc.com/product-detail/C2913202.html" TargetMode="External"/><Relationship Id="rId2" Type="http://schemas.openxmlformats.org/officeDocument/2006/relationships/hyperlink" Target="https://uelectronics.com/producto/esp32-s3-wroom-1-n16r8-16mb-flash/" TargetMode="External"/><Relationship Id="rId3" Type="http://schemas.openxmlformats.org/officeDocument/2006/relationships/hyperlink" Target="https://www.mouser.mx/c/?q=ESP32-S3-WROOM-1-N16R8" TargetMode="External"/><Relationship Id="rId149" Type="http://schemas.openxmlformats.org/officeDocument/2006/relationships/hyperlink" Target="https://www.mouser.mx/c/?q=0603WAF1001T5E" TargetMode="External"/><Relationship Id="rId4" Type="http://schemas.openxmlformats.org/officeDocument/2006/relationships/hyperlink" Target="https://www.digikey.com.mx/es/products/result?keywords=ESP32-S3-WROOM-1-N16R8" TargetMode="External"/><Relationship Id="rId148" Type="http://schemas.openxmlformats.org/officeDocument/2006/relationships/hyperlink" Target="https://uelectronics.com/producto/resistencias-smd-0603/" TargetMode="External"/><Relationship Id="rId9" Type="http://schemas.openxmlformats.org/officeDocument/2006/relationships/hyperlink" Target="https://www.digikey.com.mx/es/products/result?keywords=AMS1117-5.0" TargetMode="External"/><Relationship Id="rId143" Type="http://schemas.openxmlformats.org/officeDocument/2006/relationships/hyperlink" Target="https://www.lcsc.com/product-detail/C23228.html" TargetMode="External"/><Relationship Id="rId142" Type="http://schemas.openxmlformats.org/officeDocument/2006/relationships/hyperlink" Target="https://www.digikey.com.mx/es/products/result?keywords=0603WAF4700T5E" TargetMode="External"/><Relationship Id="rId141" Type="http://schemas.openxmlformats.org/officeDocument/2006/relationships/hyperlink" Target="https://www.mouser.mx/c/?q=0603WAF4700T5E" TargetMode="External"/><Relationship Id="rId140" Type="http://schemas.openxmlformats.org/officeDocument/2006/relationships/hyperlink" Target="https://uelectronics.com/producto/resistencias-smd-0603/" TargetMode="External"/><Relationship Id="rId5" Type="http://schemas.openxmlformats.org/officeDocument/2006/relationships/hyperlink" Target="https://www.snapeda.com/search/?q=ESP32-S3-WROOM-1-N16R8" TargetMode="External"/><Relationship Id="rId147" Type="http://schemas.openxmlformats.org/officeDocument/2006/relationships/hyperlink" Target="https://www.lcsc.com/product-detail/C21190.html" TargetMode="External"/><Relationship Id="rId6" Type="http://schemas.openxmlformats.org/officeDocument/2006/relationships/hyperlink" Target="https://www.lcsc.com/product-detail/C6187.html" TargetMode="External"/><Relationship Id="rId146" Type="http://schemas.openxmlformats.org/officeDocument/2006/relationships/hyperlink" Target="https://www.digikey.com.mx/es/products/result?keywords=0603WAF6800T5E" TargetMode="External"/><Relationship Id="rId7" Type="http://schemas.openxmlformats.org/officeDocument/2006/relationships/hyperlink" Target="https://uelectronics.com/producto/ams1117-regulador-smd-5v-1a-sot-223/" TargetMode="External"/><Relationship Id="rId145" Type="http://schemas.openxmlformats.org/officeDocument/2006/relationships/hyperlink" Target="https://www.mouser.mx/c/?q=0603WAF6800T5E" TargetMode="External"/><Relationship Id="rId8" Type="http://schemas.openxmlformats.org/officeDocument/2006/relationships/hyperlink" Target="https://www.mouser.mx/c/?q=AMS1117-5.0" TargetMode="External"/><Relationship Id="rId144" Type="http://schemas.openxmlformats.org/officeDocument/2006/relationships/hyperlink" Target="https://uelectronics.com/producto/resistencias-smd-0603/" TargetMode="External"/><Relationship Id="rId73" Type="http://schemas.openxmlformats.org/officeDocument/2006/relationships/hyperlink" Target="https://www.lcsc.com/product-detail/C2761795.html" TargetMode="External"/><Relationship Id="rId72" Type="http://schemas.openxmlformats.org/officeDocument/2006/relationships/hyperlink" Target="https://www.snapeda.com/search/?q=DPS368XTSA1" TargetMode="External"/><Relationship Id="rId75" Type="http://schemas.openxmlformats.org/officeDocument/2006/relationships/hyperlink" Target="https://www.mouser.mx/c/?q=WS2812B-B%2FT" TargetMode="External"/><Relationship Id="rId74" Type="http://schemas.openxmlformats.org/officeDocument/2006/relationships/hyperlink" Target="https://uelectronics.com/producto/neopixel-rgb-5x5mm-smd-ws2812b-b/" TargetMode="External"/><Relationship Id="rId77" Type="http://schemas.openxmlformats.org/officeDocument/2006/relationships/hyperlink" Target="https://www.snapeda.com/search/?q=WS2812B-B%2FT" TargetMode="External"/><Relationship Id="rId76" Type="http://schemas.openxmlformats.org/officeDocument/2006/relationships/hyperlink" Target="https://www.digikey.com.mx/es/products/result?keywords=WS2812B-B%2FT" TargetMode="External"/><Relationship Id="rId79" Type="http://schemas.openxmlformats.org/officeDocument/2006/relationships/hyperlink" Target="https://uelectronics.com/producto/unit-devlab-80db-passive-buzzer-module/" TargetMode="External"/><Relationship Id="rId78" Type="http://schemas.openxmlformats.org/officeDocument/2006/relationships/hyperlink" Target="https://www.lcsc.com/product-detail/C94599.html" TargetMode="External"/><Relationship Id="rId71" Type="http://schemas.openxmlformats.org/officeDocument/2006/relationships/hyperlink" Target="https://www.digikey.com.mx/es/products/result?keywords=DPS368XTSA1" TargetMode="External"/><Relationship Id="rId70" Type="http://schemas.openxmlformats.org/officeDocument/2006/relationships/hyperlink" Target="https://www.mouser.mx/c/?q=DPS368XTSA1" TargetMode="External"/><Relationship Id="rId139" Type="http://schemas.openxmlformats.org/officeDocument/2006/relationships/hyperlink" Target="https://www.lcsc.com/product-detail/C23179.html" TargetMode="External"/><Relationship Id="rId138" Type="http://schemas.openxmlformats.org/officeDocument/2006/relationships/hyperlink" Target="https://www.digikey.com.mx/es/products/result?keywords=0603WAF1000T5E" TargetMode="External"/><Relationship Id="rId137" Type="http://schemas.openxmlformats.org/officeDocument/2006/relationships/hyperlink" Target="https://www.mouser.mx/c/?q=0603WAF1000T5E" TargetMode="External"/><Relationship Id="rId132" Type="http://schemas.openxmlformats.org/officeDocument/2006/relationships/hyperlink" Target="https://uelectronics.com/producto/resistencias-smd-0603/" TargetMode="External"/><Relationship Id="rId131" Type="http://schemas.openxmlformats.org/officeDocument/2006/relationships/hyperlink" Target="https://www.lcsc.com/product-detail/C23140.html" TargetMode="External"/><Relationship Id="rId130" Type="http://schemas.openxmlformats.org/officeDocument/2006/relationships/hyperlink" Target="https://www.digikey.com.mx/es/products/result?keywords=0603WAF220JT5E" TargetMode="External"/><Relationship Id="rId136" Type="http://schemas.openxmlformats.org/officeDocument/2006/relationships/hyperlink" Target="https://uelectronics.com/producto/resistencias-smd-0603/" TargetMode="External"/><Relationship Id="rId135" Type="http://schemas.openxmlformats.org/officeDocument/2006/relationships/hyperlink" Target="https://www.lcsc.com/product-detail/C22775.html" TargetMode="External"/><Relationship Id="rId134" Type="http://schemas.openxmlformats.org/officeDocument/2006/relationships/hyperlink" Target="https://www.digikey.com.mx/es/products/result?keywords=0603WAF330JT5E" TargetMode="External"/><Relationship Id="rId133" Type="http://schemas.openxmlformats.org/officeDocument/2006/relationships/hyperlink" Target="https://www.mouser.mx/c/?q=0603WAF330JT5E" TargetMode="External"/><Relationship Id="rId62" Type="http://schemas.openxmlformats.org/officeDocument/2006/relationships/hyperlink" Target="https://www.digikey.com.mx/es/products/result?keywords=SAM-M10Q-00B" TargetMode="External"/><Relationship Id="rId61" Type="http://schemas.openxmlformats.org/officeDocument/2006/relationships/hyperlink" Target="https://www.mouser.mx/c/?q=SAM-M10Q-00B" TargetMode="External"/><Relationship Id="rId64" Type="http://schemas.openxmlformats.org/officeDocument/2006/relationships/hyperlink" Target="https://www.lcsc.com/product-detail/C22461202.html" TargetMode="External"/><Relationship Id="rId63" Type="http://schemas.openxmlformats.org/officeDocument/2006/relationships/hyperlink" Target="https://www.snapeda.com/search/?q=SAM-M10Q-00B" TargetMode="External"/><Relationship Id="rId66" Type="http://schemas.openxmlformats.org/officeDocument/2006/relationships/hyperlink" Target="https://www.digikey.com.mx/es/products/result?keywords=LSM6DSV32XTR" TargetMode="External"/><Relationship Id="rId172" Type="http://schemas.openxmlformats.org/officeDocument/2006/relationships/hyperlink" Target="https://uelectronics.com/producto/tmk212bbj106kg-t-capacitor-ceramico-0805-10uf-25v/" TargetMode="External"/><Relationship Id="rId65" Type="http://schemas.openxmlformats.org/officeDocument/2006/relationships/hyperlink" Target="https://www.mouser.mx/c/?q=LSM6DSV32XTR" TargetMode="External"/><Relationship Id="rId171" Type="http://schemas.openxmlformats.org/officeDocument/2006/relationships/hyperlink" Target="https://www.lcsc.com/product-detail/C15850.html" TargetMode="External"/><Relationship Id="rId68" Type="http://schemas.openxmlformats.org/officeDocument/2006/relationships/hyperlink" Target="https://www.lcsc.com/product-detail/C3232508.html" TargetMode="External"/><Relationship Id="rId170" Type="http://schemas.openxmlformats.org/officeDocument/2006/relationships/hyperlink" Target="https://www.digikey.com.mx/es/products/result?keywords=CC0805KRX7R9BB104" TargetMode="External"/><Relationship Id="rId67" Type="http://schemas.openxmlformats.org/officeDocument/2006/relationships/hyperlink" Target="https://www.snapeda.com/search/?q=LSM6DSV32XTR" TargetMode="External"/><Relationship Id="rId60" Type="http://schemas.openxmlformats.org/officeDocument/2006/relationships/hyperlink" Target="https://www.lcsc.com/product-detail/C5443880.html" TargetMode="External"/><Relationship Id="rId165" Type="http://schemas.openxmlformats.org/officeDocument/2006/relationships/hyperlink" Target="https://www.mouser.mx/c/?q=0603WAF1003T5E" TargetMode="External"/><Relationship Id="rId69" Type="http://schemas.openxmlformats.org/officeDocument/2006/relationships/hyperlink" Target="https://uelectronics.com/producto/bmp280-ic-smd-sensor-presion/" TargetMode="External"/><Relationship Id="rId164" Type="http://schemas.openxmlformats.org/officeDocument/2006/relationships/hyperlink" Target="https://uelectronics.com/producto/resistencias-smd-0603/" TargetMode="External"/><Relationship Id="rId163" Type="http://schemas.openxmlformats.org/officeDocument/2006/relationships/hyperlink" Target="https://www.lcsc.com/product-detail/C25803.html" TargetMode="External"/><Relationship Id="rId162" Type="http://schemas.openxmlformats.org/officeDocument/2006/relationships/hyperlink" Target="https://www.digikey.com.mx/es/products/result?keywords=0603WAF4702T5E" TargetMode="External"/><Relationship Id="rId169" Type="http://schemas.openxmlformats.org/officeDocument/2006/relationships/hyperlink" Target="https://www.mouser.mx/c/?q=CC0805KRX7R9BB104" TargetMode="External"/><Relationship Id="rId168" Type="http://schemas.openxmlformats.org/officeDocument/2006/relationships/hyperlink" Target="https://uelectronics.com/producto/cc0805krx7r9bb104-capacitor-ceramico-0805-100nf-50v/" TargetMode="External"/><Relationship Id="rId167" Type="http://schemas.openxmlformats.org/officeDocument/2006/relationships/hyperlink" Target="https://www.lcsc.com/product-detail/C49678.html" TargetMode="External"/><Relationship Id="rId166" Type="http://schemas.openxmlformats.org/officeDocument/2006/relationships/hyperlink" Target="https://www.digikey.com.mx/es/products/result?keywords=0603WAF1003T5E" TargetMode="External"/><Relationship Id="rId51" Type="http://schemas.openxmlformats.org/officeDocument/2006/relationships/hyperlink" Target="https://uelectronics.com/producto/conector-xt30-par-macho-hembra/" TargetMode="External"/><Relationship Id="rId50" Type="http://schemas.openxmlformats.org/officeDocument/2006/relationships/hyperlink" Target="https://www.lcsc.com/product-detail/C5818955.html" TargetMode="External"/><Relationship Id="rId53" Type="http://schemas.openxmlformats.org/officeDocument/2006/relationships/hyperlink" Target="https://www.digikey.com.mx/es/products/result?keywords=XT30APW-M" TargetMode="External"/><Relationship Id="rId52" Type="http://schemas.openxmlformats.org/officeDocument/2006/relationships/hyperlink" Target="https://www.mouser.mx/c/?q=XT30APW-M" TargetMode="External"/><Relationship Id="rId55" Type="http://schemas.openxmlformats.org/officeDocument/2006/relationships/hyperlink" Target="https://www.lcsc.com/product-detail/C6760738.html" TargetMode="External"/><Relationship Id="rId161" Type="http://schemas.openxmlformats.org/officeDocument/2006/relationships/hyperlink" Target="https://www.mouser.mx/c/?q=0603WAF4702T5E" TargetMode="External"/><Relationship Id="rId54" Type="http://schemas.openxmlformats.org/officeDocument/2006/relationships/hyperlink" Target="https://www.snapeda.com/search/?q=XT30APW-M" TargetMode="External"/><Relationship Id="rId160" Type="http://schemas.openxmlformats.org/officeDocument/2006/relationships/hyperlink" Target="https://uelectronics.com/producto/resistencias-smd-0603/" TargetMode="External"/><Relationship Id="rId57" Type="http://schemas.openxmlformats.org/officeDocument/2006/relationships/hyperlink" Target="https://www.mouser.mx/c/?q=RFM95W-915S2" TargetMode="External"/><Relationship Id="rId56" Type="http://schemas.openxmlformats.org/officeDocument/2006/relationships/hyperlink" Target="https://uelectronics.com/producto/rfm95w-915mhz-transceptor-lora/" TargetMode="External"/><Relationship Id="rId159" Type="http://schemas.openxmlformats.org/officeDocument/2006/relationships/hyperlink" Target="https://www.lcsc.com/product-detail/C25819.html" TargetMode="External"/><Relationship Id="rId59" Type="http://schemas.openxmlformats.org/officeDocument/2006/relationships/hyperlink" Target="https://www.snapeda.com/search/?q=RFM95W-915S2" TargetMode="External"/><Relationship Id="rId154" Type="http://schemas.openxmlformats.org/officeDocument/2006/relationships/hyperlink" Target="https://www.digikey.com.mx/es/products/result?keywords=0603WAF4701T5E" TargetMode="External"/><Relationship Id="rId58" Type="http://schemas.openxmlformats.org/officeDocument/2006/relationships/hyperlink" Target="https://www.digikey.com.mx/es/products/result?keywords=RFM95W-915S2" TargetMode="External"/><Relationship Id="rId153" Type="http://schemas.openxmlformats.org/officeDocument/2006/relationships/hyperlink" Target="https://www.mouser.mx/c/?q=0603WAF4701T5E" TargetMode="External"/><Relationship Id="rId152" Type="http://schemas.openxmlformats.org/officeDocument/2006/relationships/hyperlink" Target="https://uelectronics.com/producto/resistencias-smd-0603/" TargetMode="External"/><Relationship Id="rId151" Type="http://schemas.openxmlformats.org/officeDocument/2006/relationships/hyperlink" Target="https://www.lcsc.com/product-detail/C23162.html" TargetMode="External"/><Relationship Id="rId158" Type="http://schemas.openxmlformats.org/officeDocument/2006/relationships/hyperlink" Target="https://www.digikey.com.mx/es/products/result?keywords=0603WAF1002T5E" TargetMode="External"/><Relationship Id="rId157" Type="http://schemas.openxmlformats.org/officeDocument/2006/relationships/hyperlink" Target="https://www.mouser.mx/c/?q=0603WAF1002T5E" TargetMode="External"/><Relationship Id="rId156" Type="http://schemas.openxmlformats.org/officeDocument/2006/relationships/hyperlink" Target="https://uelectronics.com/producto/resistencias-smd-0603/" TargetMode="External"/><Relationship Id="rId155" Type="http://schemas.openxmlformats.org/officeDocument/2006/relationships/hyperlink" Target="https://www.lcsc.com/product-detail/C258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43"/>
    <col customWidth="1" min="2" max="2" width="4.0"/>
    <col customWidth="1" min="3" max="3" width="38.0"/>
    <col customWidth="1" min="4" max="4" width="24.0"/>
    <col customWidth="1" min="5" max="5" width="26.0"/>
    <col customWidth="1" min="6" max="6" width="3.57"/>
    <col customWidth="1" min="7" max="7" width="11.0"/>
    <col customWidth="1" min="8" max="8" width="10.0"/>
    <col customWidth="1" min="9" max="10" width="9.0"/>
    <col customWidth="1" min="11" max="11" width="16.0"/>
    <col customWidth="1" min="12" max="12" width="50.0"/>
    <col customWidth="1" min="13" max="27" width="8.71"/>
  </cols>
  <sheetData>
    <row r="1" ht="14.25" customHeight="1">
      <c r="A1" s="1" t="s">
        <v>0</v>
      </c>
      <c r="B1" s="1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4" t="s">
        <v>1</v>
      </c>
      <c r="B2" s="4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5" t="s">
        <v>2</v>
      </c>
      <c r="B3" s="5"/>
      <c r="C3" s="5" t="s">
        <v>3</v>
      </c>
      <c r="D3" s="5" t="s">
        <v>4</v>
      </c>
      <c r="E3" s="5" t="s">
        <v>5</v>
      </c>
      <c r="F3" s="6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7" t="s">
        <v>13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>
      <c r="A5" s="9" t="s">
        <v>14</v>
      </c>
      <c r="B5" s="10" t="b">
        <v>1</v>
      </c>
      <c r="C5" s="9" t="s">
        <v>15</v>
      </c>
      <c r="D5" s="9" t="s">
        <v>16</v>
      </c>
      <c r="E5" s="9" t="s">
        <v>17</v>
      </c>
      <c r="F5" s="11">
        <v>1.0</v>
      </c>
      <c r="G5" s="12" t="s">
        <v>18</v>
      </c>
      <c r="H5" s="12" t="s">
        <v>19</v>
      </c>
      <c r="I5" s="12" t="s">
        <v>20</v>
      </c>
      <c r="J5" s="12" t="s">
        <v>21</v>
      </c>
      <c r="K5" s="12" t="s">
        <v>22</v>
      </c>
      <c r="L5" s="9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7" t="s">
        <v>24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9" t="s">
        <v>14</v>
      </c>
      <c r="B7" s="10" t="b">
        <v>1</v>
      </c>
      <c r="C7" s="9" t="s">
        <v>25</v>
      </c>
      <c r="D7" s="9" t="s">
        <v>26</v>
      </c>
      <c r="E7" s="9" t="s">
        <v>27</v>
      </c>
      <c r="F7" s="11">
        <v>1.0</v>
      </c>
      <c r="G7" s="12" t="s">
        <v>28</v>
      </c>
      <c r="H7" s="12" t="s">
        <v>19</v>
      </c>
      <c r="I7" s="12" t="s">
        <v>20</v>
      </c>
      <c r="J7" s="12" t="s">
        <v>21</v>
      </c>
      <c r="K7" s="12" t="s">
        <v>22</v>
      </c>
      <c r="L7" s="9" t="s">
        <v>29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9" t="s">
        <v>14</v>
      </c>
      <c r="B8" s="10" t="b">
        <v>1</v>
      </c>
      <c r="C8" s="9" t="s">
        <v>30</v>
      </c>
      <c r="D8" s="9" t="s">
        <v>31</v>
      </c>
      <c r="E8" s="9" t="s">
        <v>32</v>
      </c>
      <c r="F8" s="11">
        <v>1.0</v>
      </c>
      <c r="G8" s="12" t="s">
        <v>33</v>
      </c>
      <c r="H8" s="12" t="s">
        <v>19</v>
      </c>
      <c r="I8" s="12" t="s">
        <v>20</v>
      </c>
      <c r="J8" s="12" t="s">
        <v>21</v>
      </c>
      <c r="K8" s="12" t="s">
        <v>22</v>
      </c>
      <c r="L8" s="9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13" t="s">
        <v>35</v>
      </c>
      <c r="B9" s="10" t="b">
        <v>1</v>
      </c>
      <c r="C9" s="13" t="s">
        <v>36</v>
      </c>
      <c r="D9" s="13" t="s">
        <v>37</v>
      </c>
      <c r="E9" s="13" t="s">
        <v>38</v>
      </c>
      <c r="F9" s="14">
        <v>1.0</v>
      </c>
      <c r="G9" s="15" t="s">
        <v>39</v>
      </c>
      <c r="H9" s="15" t="s">
        <v>19</v>
      </c>
      <c r="I9" s="15" t="s">
        <v>20</v>
      </c>
      <c r="J9" s="15" t="s">
        <v>21</v>
      </c>
      <c r="K9" s="15" t="s">
        <v>22</v>
      </c>
      <c r="L9" s="13" t="s">
        <v>40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>
      <c r="A10" s="13" t="s">
        <v>41</v>
      </c>
      <c r="B10" s="10" t="b">
        <v>1</v>
      </c>
      <c r="C10" s="13" t="s">
        <v>42</v>
      </c>
      <c r="D10" s="13" t="s">
        <v>43</v>
      </c>
      <c r="E10" s="13" t="s">
        <v>44</v>
      </c>
      <c r="F10" s="14">
        <v>2.0</v>
      </c>
      <c r="G10" s="15" t="s">
        <v>45</v>
      </c>
      <c r="H10" s="15" t="s">
        <v>19</v>
      </c>
      <c r="I10" s="15" t="s">
        <v>20</v>
      </c>
      <c r="J10" s="15" t="s">
        <v>21</v>
      </c>
      <c r="K10" s="15" t="s">
        <v>22</v>
      </c>
      <c r="L10" s="13" t="s">
        <v>46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>
      <c r="A11" s="7" t="s">
        <v>47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>
      <c r="A12" s="9" t="s">
        <v>14</v>
      </c>
      <c r="B12" s="10" t="b">
        <v>1</v>
      </c>
      <c r="C12" s="9" t="s">
        <v>48</v>
      </c>
      <c r="D12" s="9" t="s">
        <v>49</v>
      </c>
      <c r="E12" s="9" t="s">
        <v>50</v>
      </c>
      <c r="F12" s="11">
        <v>1.0</v>
      </c>
      <c r="G12" s="12" t="s">
        <v>51</v>
      </c>
      <c r="H12" s="12" t="s">
        <v>19</v>
      </c>
      <c r="I12" s="12" t="s">
        <v>20</v>
      </c>
      <c r="J12" s="12" t="s">
        <v>21</v>
      </c>
      <c r="K12" s="12" t="s">
        <v>22</v>
      </c>
      <c r="L12" s="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>
      <c r="A13" s="13" t="s">
        <v>14</v>
      </c>
      <c r="B13" s="10" t="b">
        <v>1</v>
      </c>
      <c r="C13" s="13" t="s">
        <v>52</v>
      </c>
      <c r="D13" s="13" t="s">
        <v>53</v>
      </c>
      <c r="E13" s="13" t="s">
        <v>54</v>
      </c>
      <c r="F13" s="14">
        <v>1.0</v>
      </c>
      <c r="G13" s="15" t="s">
        <v>55</v>
      </c>
      <c r="H13" s="15" t="s">
        <v>19</v>
      </c>
      <c r="I13" s="15" t="s">
        <v>20</v>
      </c>
      <c r="J13" s="15" t="s">
        <v>21</v>
      </c>
      <c r="K13" s="15" t="s">
        <v>22</v>
      </c>
      <c r="L13" s="13" t="s">
        <v>56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4.25" customHeight="1">
      <c r="A14" s="13" t="s">
        <v>35</v>
      </c>
      <c r="B14" s="10" t="b">
        <v>0</v>
      </c>
      <c r="C14" s="13" t="s">
        <v>57</v>
      </c>
      <c r="D14" s="13" t="s">
        <v>58</v>
      </c>
      <c r="E14" s="13" t="s">
        <v>59</v>
      </c>
      <c r="F14" s="14">
        <v>1.0</v>
      </c>
      <c r="G14" s="15" t="s">
        <v>60</v>
      </c>
      <c r="H14" s="15" t="s">
        <v>19</v>
      </c>
      <c r="I14" s="15" t="s">
        <v>20</v>
      </c>
      <c r="J14" s="15" t="s">
        <v>21</v>
      </c>
      <c r="K14" s="15" t="s">
        <v>22</v>
      </c>
      <c r="L14" s="13" t="s">
        <v>61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>
      <c r="A15" s="9" t="s">
        <v>14</v>
      </c>
      <c r="B15" s="10" t="b">
        <v>1</v>
      </c>
      <c r="C15" s="9" t="s">
        <v>62</v>
      </c>
      <c r="D15" s="9" t="s">
        <v>63</v>
      </c>
      <c r="E15" s="9" t="s">
        <v>64</v>
      </c>
      <c r="F15" s="11">
        <v>1.0</v>
      </c>
      <c r="G15" s="12" t="s">
        <v>65</v>
      </c>
      <c r="H15" s="12" t="s">
        <v>19</v>
      </c>
      <c r="I15" s="12" t="s">
        <v>20</v>
      </c>
      <c r="J15" s="12" t="s">
        <v>21</v>
      </c>
      <c r="K15" s="12" t="s">
        <v>22</v>
      </c>
      <c r="L15" s="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>
      <c r="A16" s="9" t="s">
        <v>35</v>
      </c>
      <c r="B16" s="10" t="b">
        <v>0</v>
      </c>
      <c r="C16" s="9" t="s">
        <v>66</v>
      </c>
      <c r="D16" s="9" t="s">
        <v>67</v>
      </c>
      <c r="E16" s="9" t="s">
        <v>68</v>
      </c>
      <c r="F16" s="11">
        <v>1.0</v>
      </c>
      <c r="G16" s="12" t="s">
        <v>69</v>
      </c>
      <c r="H16" s="9" t="s">
        <v>70</v>
      </c>
      <c r="I16" s="12" t="s">
        <v>20</v>
      </c>
      <c r="J16" s="12" t="s">
        <v>21</v>
      </c>
      <c r="K16" s="12" t="s">
        <v>22</v>
      </c>
      <c r="L16" s="9" t="s">
        <v>71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>
      <c r="A17" s="16" t="s">
        <v>41</v>
      </c>
      <c r="B17" s="10" t="b">
        <v>1</v>
      </c>
      <c r="C17" s="16" t="s">
        <v>72</v>
      </c>
      <c r="D17" s="16" t="s">
        <v>73</v>
      </c>
      <c r="E17" s="16" t="s">
        <v>74</v>
      </c>
      <c r="F17" s="17">
        <v>1.0</v>
      </c>
      <c r="G17" s="18" t="s">
        <v>75</v>
      </c>
      <c r="H17" s="18" t="s">
        <v>19</v>
      </c>
      <c r="I17" s="18" t="s">
        <v>20</v>
      </c>
      <c r="J17" s="18" t="s">
        <v>21</v>
      </c>
      <c r="K17" s="18" t="s">
        <v>22</v>
      </c>
      <c r="L17" s="16" t="s">
        <v>76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>
      <c r="A18" s="7" t="s">
        <v>77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13" t="s">
        <v>35</v>
      </c>
      <c r="B19" s="10" t="b">
        <v>1</v>
      </c>
      <c r="C19" s="13" t="s">
        <v>78</v>
      </c>
      <c r="D19" s="13" t="s">
        <v>79</v>
      </c>
      <c r="E19" s="13" t="s">
        <v>80</v>
      </c>
      <c r="F19" s="14">
        <v>1.0</v>
      </c>
      <c r="G19" s="15" t="s">
        <v>81</v>
      </c>
      <c r="H19" s="15" t="s">
        <v>19</v>
      </c>
      <c r="I19" s="15" t="s">
        <v>20</v>
      </c>
      <c r="J19" s="15" t="s">
        <v>21</v>
      </c>
      <c r="K19" s="15" t="s">
        <v>22</v>
      </c>
      <c r="L19" s="13" t="s">
        <v>82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4.25" customHeight="1">
      <c r="A20" s="9" t="s">
        <v>14</v>
      </c>
      <c r="B20" s="10" t="b">
        <v>1</v>
      </c>
      <c r="C20" s="9" t="s">
        <v>83</v>
      </c>
      <c r="D20" s="9" t="s">
        <v>84</v>
      </c>
      <c r="E20" s="9" t="s">
        <v>85</v>
      </c>
      <c r="F20" s="11">
        <v>1.0</v>
      </c>
      <c r="G20" s="12" t="s">
        <v>86</v>
      </c>
      <c r="H20" s="9" t="s">
        <v>70</v>
      </c>
      <c r="I20" s="12" t="s">
        <v>20</v>
      </c>
      <c r="J20" s="12" t="s">
        <v>21</v>
      </c>
      <c r="K20" s="12" t="s">
        <v>22</v>
      </c>
      <c r="L20" s="9" t="s">
        <v>87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7" t="s">
        <v>88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13" t="s">
        <v>35</v>
      </c>
      <c r="B22" s="10" t="b">
        <v>0</v>
      </c>
      <c r="C22" s="13" t="s">
        <v>89</v>
      </c>
      <c r="D22" s="13" t="s">
        <v>90</v>
      </c>
      <c r="E22" s="13" t="s">
        <v>91</v>
      </c>
      <c r="F22" s="14">
        <v>1.0</v>
      </c>
      <c r="G22" s="15" t="s">
        <v>92</v>
      </c>
      <c r="H22" s="13" t="s">
        <v>70</v>
      </c>
      <c r="I22" s="15" t="s">
        <v>20</v>
      </c>
      <c r="J22" s="15" t="s">
        <v>21</v>
      </c>
      <c r="K22" s="15" t="s">
        <v>22</v>
      </c>
      <c r="L22" s="13" t="s">
        <v>93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4.25" customHeight="1">
      <c r="A23" s="13" t="s">
        <v>35</v>
      </c>
      <c r="B23" s="10" t="b">
        <v>1</v>
      </c>
      <c r="C23" s="13" t="s">
        <v>94</v>
      </c>
      <c r="D23" s="13" t="s">
        <v>95</v>
      </c>
      <c r="E23" s="13" t="s">
        <v>96</v>
      </c>
      <c r="F23" s="14">
        <v>1.0</v>
      </c>
      <c r="G23" s="15" t="s">
        <v>97</v>
      </c>
      <c r="H23" s="15" t="s">
        <v>19</v>
      </c>
      <c r="I23" s="15" t="s">
        <v>20</v>
      </c>
      <c r="J23" s="15" t="s">
        <v>21</v>
      </c>
      <c r="K23" s="15" t="s">
        <v>22</v>
      </c>
      <c r="L23" s="13" t="s">
        <v>98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4.25" customHeight="1">
      <c r="A24" s="7" t="s">
        <v>99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9" t="s">
        <v>14</v>
      </c>
      <c r="B25" s="10" t="b">
        <v>1</v>
      </c>
      <c r="C25" s="9" t="s">
        <v>100</v>
      </c>
      <c r="D25" s="9" t="s">
        <v>101</v>
      </c>
      <c r="E25" s="9" t="s">
        <v>102</v>
      </c>
      <c r="F25" s="11">
        <v>3.0</v>
      </c>
      <c r="G25" s="12" t="s">
        <v>103</v>
      </c>
      <c r="H25" s="12" t="s">
        <v>19</v>
      </c>
      <c r="I25" s="12" t="s">
        <v>20</v>
      </c>
      <c r="J25" s="12" t="s">
        <v>21</v>
      </c>
      <c r="K25" s="12" t="s">
        <v>22</v>
      </c>
      <c r="L25" s="9" t="s">
        <v>104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9" t="s">
        <v>14</v>
      </c>
      <c r="B26" s="10" t="b">
        <v>1</v>
      </c>
      <c r="C26" s="9" t="s">
        <v>105</v>
      </c>
      <c r="D26" s="9" t="s">
        <v>106</v>
      </c>
      <c r="E26" s="9" t="s">
        <v>107</v>
      </c>
      <c r="F26" s="11">
        <v>1.0</v>
      </c>
      <c r="G26" s="12" t="s">
        <v>108</v>
      </c>
      <c r="H26" s="12" t="s">
        <v>19</v>
      </c>
      <c r="I26" s="12" t="s">
        <v>20</v>
      </c>
      <c r="J26" s="12" t="s">
        <v>21</v>
      </c>
      <c r="K26" s="12" t="s">
        <v>22</v>
      </c>
      <c r="L26" s="9" t="s">
        <v>109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13" t="s">
        <v>35</v>
      </c>
      <c r="B27" s="10" t="b">
        <v>1</v>
      </c>
      <c r="C27" s="13" t="s">
        <v>110</v>
      </c>
      <c r="D27" s="13" t="s">
        <v>111</v>
      </c>
      <c r="E27" s="13" t="s">
        <v>112</v>
      </c>
      <c r="F27" s="14">
        <v>6.0</v>
      </c>
      <c r="G27" s="15" t="s">
        <v>113</v>
      </c>
      <c r="H27" s="15" t="s">
        <v>19</v>
      </c>
      <c r="I27" s="15" t="s">
        <v>20</v>
      </c>
      <c r="J27" s="15" t="s">
        <v>21</v>
      </c>
      <c r="K27" s="15" t="s">
        <v>22</v>
      </c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4.25" customHeight="1">
      <c r="A28" s="13" t="s">
        <v>35</v>
      </c>
      <c r="B28" s="10" t="b">
        <v>1</v>
      </c>
      <c r="C28" s="13" t="s">
        <v>114</v>
      </c>
      <c r="D28" s="13" t="s">
        <v>115</v>
      </c>
      <c r="E28" s="13" t="s">
        <v>116</v>
      </c>
      <c r="F28" s="14">
        <v>1.0</v>
      </c>
      <c r="G28" s="15" t="s">
        <v>117</v>
      </c>
      <c r="H28" s="15" t="s">
        <v>19</v>
      </c>
      <c r="I28" s="15" t="s">
        <v>20</v>
      </c>
      <c r="J28" s="15" t="s">
        <v>21</v>
      </c>
      <c r="K28" s="15" t="s">
        <v>22</v>
      </c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4.25" customHeight="1">
      <c r="A29" s="7" t="s">
        <v>118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9" t="s">
        <v>14</v>
      </c>
      <c r="B30" s="10" t="b">
        <v>1</v>
      </c>
      <c r="C30" s="9" t="s">
        <v>119</v>
      </c>
      <c r="D30" s="9" t="s">
        <v>120</v>
      </c>
      <c r="E30" s="9" t="s">
        <v>121</v>
      </c>
      <c r="F30" s="11">
        <v>2.0</v>
      </c>
      <c r="G30" s="12" t="s">
        <v>122</v>
      </c>
      <c r="H30" s="12" t="s">
        <v>19</v>
      </c>
      <c r="I30" s="12" t="s">
        <v>20</v>
      </c>
      <c r="J30" s="12" t="s">
        <v>21</v>
      </c>
      <c r="K30" s="12" t="s">
        <v>22</v>
      </c>
      <c r="L30" s="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9" t="s">
        <v>14</v>
      </c>
      <c r="B31" s="10" t="b">
        <v>1</v>
      </c>
      <c r="C31" s="9" t="s">
        <v>123</v>
      </c>
      <c r="D31" s="9" t="s">
        <v>124</v>
      </c>
      <c r="E31" s="9" t="s">
        <v>125</v>
      </c>
      <c r="F31" s="11">
        <v>2.0</v>
      </c>
      <c r="G31" s="12" t="s">
        <v>126</v>
      </c>
      <c r="H31" s="12" t="s">
        <v>19</v>
      </c>
      <c r="I31" s="12" t="s">
        <v>20</v>
      </c>
      <c r="J31" s="12" t="s">
        <v>21</v>
      </c>
      <c r="K31" s="12" t="s">
        <v>22</v>
      </c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9" t="s">
        <v>14</v>
      </c>
      <c r="B32" s="10" t="b">
        <v>1</v>
      </c>
      <c r="C32" s="9" t="s">
        <v>127</v>
      </c>
      <c r="D32" s="9" t="s">
        <v>128</v>
      </c>
      <c r="E32" s="9" t="s">
        <v>129</v>
      </c>
      <c r="F32" s="11">
        <v>2.0</v>
      </c>
      <c r="G32" s="12" t="s">
        <v>130</v>
      </c>
      <c r="H32" s="12" t="s">
        <v>19</v>
      </c>
      <c r="I32" s="12" t="s">
        <v>20</v>
      </c>
      <c r="J32" s="12" t="s">
        <v>21</v>
      </c>
      <c r="K32" s="12" t="s">
        <v>22</v>
      </c>
      <c r="L32" s="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>
      <c r="A33" s="9" t="s">
        <v>14</v>
      </c>
      <c r="B33" s="10" t="b">
        <v>1</v>
      </c>
      <c r="C33" s="9" t="s">
        <v>131</v>
      </c>
      <c r="D33" s="9" t="s">
        <v>132</v>
      </c>
      <c r="E33" s="9" t="s">
        <v>133</v>
      </c>
      <c r="F33" s="11">
        <v>1.0</v>
      </c>
      <c r="G33" s="12" t="s">
        <v>134</v>
      </c>
      <c r="H33" s="12" t="s">
        <v>19</v>
      </c>
      <c r="I33" s="12" t="s">
        <v>20</v>
      </c>
      <c r="J33" s="12" t="s">
        <v>21</v>
      </c>
      <c r="K33" s="12" t="s">
        <v>22</v>
      </c>
      <c r="L33" s="9" t="s">
        <v>135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>
      <c r="A34" s="13" t="s">
        <v>35</v>
      </c>
      <c r="B34" s="10" t="b">
        <v>1</v>
      </c>
      <c r="C34" s="13" t="s">
        <v>136</v>
      </c>
      <c r="D34" s="13" t="s">
        <v>137</v>
      </c>
      <c r="E34" s="13" t="s">
        <v>138</v>
      </c>
      <c r="F34" s="14">
        <v>4.0</v>
      </c>
      <c r="G34" s="15" t="s">
        <v>139</v>
      </c>
      <c r="H34" s="15" t="s">
        <v>19</v>
      </c>
      <c r="I34" s="15" t="s">
        <v>20</v>
      </c>
      <c r="J34" s="15" t="s">
        <v>21</v>
      </c>
      <c r="K34" s="15" t="s">
        <v>22</v>
      </c>
      <c r="L34" s="13" t="s">
        <v>140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4.25" customHeight="1">
      <c r="A35" s="9" t="s">
        <v>14</v>
      </c>
      <c r="B35" s="10" t="b">
        <v>1</v>
      </c>
      <c r="C35" s="9" t="s">
        <v>141</v>
      </c>
      <c r="D35" s="9" t="s">
        <v>142</v>
      </c>
      <c r="E35" s="9" t="s">
        <v>143</v>
      </c>
      <c r="F35" s="11">
        <v>2.0</v>
      </c>
      <c r="G35" s="12" t="s">
        <v>144</v>
      </c>
      <c r="H35" s="12" t="s">
        <v>19</v>
      </c>
      <c r="I35" s="12" t="s">
        <v>20</v>
      </c>
      <c r="J35" s="12" t="s">
        <v>21</v>
      </c>
      <c r="K35" s="12" t="s">
        <v>22</v>
      </c>
      <c r="L35" s="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7" t="s">
        <v>145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13" t="s">
        <v>35</v>
      </c>
      <c r="B37" s="10" t="b">
        <v>0</v>
      </c>
      <c r="C37" s="13" t="s">
        <v>146</v>
      </c>
      <c r="D37" s="13" t="s">
        <v>147</v>
      </c>
      <c r="E37" s="13" t="s">
        <v>148</v>
      </c>
      <c r="F37" s="14">
        <v>2.0</v>
      </c>
      <c r="G37" s="15" t="s">
        <v>149</v>
      </c>
      <c r="H37" s="15" t="s">
        <v>19</v>
      </c>
      <c r="I37" s="15" t="s">
        <v>20</v>
      </c>
      <c r="J37" s="15" t="s">
        <v>21</v>
      </c>
      <c r="K37" s="13" t="s">
        <v>150</v>
      </c>
      <c r="L37" s="1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13" t="s">
        <v>35</v>
      </c>
      <c r="B38" s="10" t="b">
        <v>0</v>
      </c>
      <c r="C38" s="13" t="s">
        <v>151</v>
      </c>
      <c r="D38" s="13" t="s">
        <v>152</v>
      </c>
      <c r="E38" s="13" t="s">
        <v>153</v>
      </c>
      <c r="F38" s="14">
        <v>2.0</v>
      </c>
      <c r="G38" s="15" t="s">
        <v>154</v>
      </c>
      <c r="H38" s="15" t="s">
        <v>19</v>
      </c>
      <c r="I38" s="15" t="s">
        <v>20</v>
      </c>
      <c r="J38" s="15" t="s">
        <v>21</v>
      </c>
      <c r="K38" s="13" t="s">
        <v>150</v>
      </c>
      <c r="L38" s="1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13" t="s">
        <v>35</v>
      </c>
      <c r="B39" s="20" t="b">
        <v>0</v>
      </c>
      <c r="C39" s="13" t="s">
        <v>155</v>
      </c>
      <c r="D39" s="13" t="s">
        <v>156</v>
      </c>
      <c r="E39" s="13" t="s">
        <v>157</v>
      </c>
      <c r="F39" s="14">
        <v>1.0</v>
      </c>
      <c r="G39" s="15" t="s">
        <v>158</v>
      </c>
      <c r="H39" s="15" t="s">
        <v>19</v>
      </c>
      <c r="I39" s="15" t="s">
        <v>20</v>
      </c>
      <c r="J39" s="15" t="s">
        <v>21</v>
      </c>
      <c r="K39" s="13" t="s">
        <v>150</v>
      </c>
      <c r="L39" s="1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13" t="s">
        <v>35</v>
      </c>
      <c r="B40" s="20" t="b">
        <v>0</v>
      </c>
      <c r="C40" s="13" t="s">
        <v>159</v>
      </c>
      <c r="D40" s="13" t="s">
        <v>160</v>
      </c>
      <c r="E40" s="13" t="s">
        <v>161</v>
      </c>
      <c r="F40" s="14">
        <v>4.0</v>
      </c>
      <c r="G40" s="15" t="s">
        <v>162</v>
      </c>
      <c r="H40" s="15" t="s">
        <v>19</v>
      </c>
      <c r="I40" s="15" t="s">
        <v>20</v>
      </c>
      <c r="J40" s="15" t="s">
        <v>21</v>
      </c>
      <c r="K40" s="13" t="s">
        <v>150</v>
      </c>
      <c r="L40" s="1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13" t="s">
        <v>35</v>
      </c>
      <c r="B41" s="20" t="b">
        <v>0</v>
      </c>
      <c r="C41" s="13" t="s">
        <v>163</v>
      </c>
      <c r="D41" s="13" t="s">
        <v>164</v>
      </c>
      <c r="E41" s="13" t="s">
        <v>165</v>
      </c>
      <c r="F41" s="14">
        <v>2.0</v>
      </c>
      <c r="G41" s="15" t="s">
        <v>166</v>
      </c>
      <c r="H41" s="15" t="s">
        <v>19</v>
      </c>
      <c r="I41" s="15" t="s">
        <v>20</v>
      </c>
      <c r="J41" s="15" t="s">
        <v>21</v>
      </c>
      <c r="K41" s="13" t="s">
        <v>150</v>
      </c>
      <c r="L41" s="1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13" t="s">
        <v>35</v>
      </c>
      <c r="B42" s="20" t="b">
        <v>0</v>
      </c>
      <c r="C42" s="13" t="s">
        <v>167</v>
      </c>
      <c r="D42" s="13" t="s">
        <v>168</v>
      </c>
      <c r="E42" s="13" t="s">
        <v>169</v>
      </c>
      <c r="F42" s="14">
        <v>2.0</v>
      </c>
      <c r="G42" s="15" t="s">
        <v>170</v>
      </c>
      <c r="H42" s="15" t="s">
        <v>19</v>
      </c>
      <c r="I42" s="15" t="s">
        <v>20</v>
      </c>
      <c r="J42" s="15" t="s">
        <v>21</v>
      </c>
      <c r="K42" s="13" t="s">
        <v>150</v>
      </c>
      <c r="L42" s="1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13" t="s">
        <v>35</v>
      </c>
      <c r="B43" s="20" t="b">
        <v>0</v>
      </c>
      <c r="C43" s="13" t="s">
        <v>171</v>
      </c>
      <c r="D43" s="13" t="s">
        <v>172</v>
      </c>
      <c r="E43" s="13" t="s">
        <v>173</v>
      </c>
      <c r="F43" s="14">
        <v>10.0</v>
      </c>
      <c r="G43" s="15" t="s">
        <v>174</v>
      </c>
      <c r="H43" s="15" t="s">
        <v>19</v>
      </c>
      <c r="I43" s="15" t="s">
        <v>20</v>
      </c>
      <c r="J43" s="15" t="s">
        <v>21</v>
      </c>
      <c r="K43" s="13" t="s">
        <v>150</v>
      </c>
      <c r="L43" s="1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13" t="s">
        <v>35</v>
      </c>
      <c r="B44" s="20" t="b">
        <v>0</v>
      </c>
      <c r="C44" s="13" t="s">
        <v>175</v>
      </c>
      <c r="D44" s="13" t="s">
        <v>176</v>
      </c>
      <c r="E44" s="13" t="s">
        <v>177</v>
      </c>
      <c r="F44" s="14">
        <v>3.0</v>
      </c>
      <c r="G44" s="15" t="s">
        <v>178</v>
      </c>
      <c r="H44" s="15" t="s">
        <v>19</v>
      </c>
      <c r="I44" s="15" t="s">
        <v>20</v>
      </c>
      <c r="J44" s="15" t="s">
        <v>21</v>
      </c>
      <c r="K44" s="13" t="s">
        <v>150</v>
      </c>
      <c r="L44" s="1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13" t="s">
        <v>35</v>
      </c>
      <c r="B45" s="20" t="b">
        <v>0</v>
      </c>
      <c r="C45" s="13" t="s">
        <v>179</v>
      </c>
      <c r="D45" s="13" t="s">
        <v>180</v>
      </c>
      <c r="E45" s="13" t="s">
        <v>181</v>
      </c>
      <c r="F45" s="14">
        <v>11.0</v>
      </c>
      <c r="G45" s="15" t="s">
        <v>182</v>
      </c>
      <c r="H45" s="15" t="s">
        <v>19</v>
      </c>
      <c r="I45" s="15" t="s">
        <v>20</v>
      </c>
      <c r="J45" s="15" t="s">
        <v>21</v>
      </c>
      <c r="K45" s="13" t="s">
        <v>150</v>
      </c>
      <c r="L45" s="1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13" t="s">
        <v>35</v>
      </c>
      <c r="B46" s="20" t="b">
        <v>0</v>
      </c>
      <c r="C46" s="13" t="s">
        <v>183</v>
      </c>
      <c r="D46" s="13" t="s">
        <v>184</v>
      </c>
      <c r="E46" s="13" t="s">
        <v>185</v>
      </c>
      <c r="F46" s="14">
        <v>1.0</v>
      </c>
      <c r="G46" s="15" t="s">
        <v>186</v>
      </c>
      <c r="H46" s="15" t="s">
        <v>19</v>
      </c>
      <c r="I46" s="15" t="s">
        <v>20</v>
      </c>
      <c r="J46" s="15" t="s">
        <v>21</v>
      </c>
      <c r="K46" s="13" t="s">
        <v>150</v>
      </c>
      <c r="L46" s="1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13" t="s">
        <v>35</v>
      </c>
      <c r="B47" s="20" t="b">
        <v>0</v>
      </c>
      <c r="C47" s="13" t="s">
        <v>187</v>
      </c>
      <c r="D47" s="13" t="s">
        <v>188</v>
      </c>
      <c r="E47" s="13" t="s">
        <v>189</v>
      </c>
      <c r="F47" s="14">
        <v>1.0</v>
      </c>
      <c r="G47" s="15" t="s">
        <v>190</v>
      </c>
      <c r="H47" s="15" t="s">
        <v>19</v>
      </c>
      <c r="I47" s="15" t="s">
        <v>20</v>
      </c>
      <c r="J47" s="15" t="s">
        <v>21</v>
      </c>
      <c r="K47" s="13" t="s">
        <v>150</v>
      </c>
      <c r="L47" s="1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7" t="s">
        <v>191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13" t="s">
        <v>35</v>
      </c>
      <c r="B49" s="10" t="b">
        <v>0</v>
      </c>
      <c r="C49" s="13" t="s">
        <v>192</v>
      </c>
      <c r="D49" s="13" t="s">
        <v>193</v>
      </c>
      <c r="E49" s="13" t="s">
        <v>194</v>
      </c>
      <c r="F49" s="14">
        <v>19.0</v>
      </c>
      <c r="G49" s="15" t="s">
        <v>195</v>
      </c>
      <c r="H49" s="15" t="s">
        <v>19</v>
      </c>
      <c r="I49" s="15" t="s">
        <v>20</v>
      </c>
      <c r="J49" s="15" t="s">
        <v>21</v>
      </c>
      <c r="K49" s="13" t="s">
        <v>150</v>
      </c>
      <c r="L49" s="1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13" t="s">
        <v>35</v>
      </c>
      <c r="B50" s="10" t="b">
        <v>0</v>
      </c>
      <c r="C50" s="13" t="s">
        <v>196</v>
      </c>
      <c r="D50" s="13" t="s">
        <v>197</v>
      </c>
      <c r="E50" s="13" t="s">
        <v>198</v>
      </c>
      <c r="F50" s="14">
        <v>7.0</v>
      </c>
      <c r="G50" s="15" t="s">
        <v>199</v>
      </c>
      <c r="H50" s="15" t="s">
        <v>19</v>
      </c>
      <c r="I50" s="15" t="s">
        <v>20</v>
      </c>
      <c r="J50" s="15" t="s">
        <v>21</v>
      </c>
      <c r="K50" s="13" t="s">
        <v>150</v>
      </c>
      <c r="L50" s="13" t="s">
        <v>200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13" t="s">
        <v>35</v>
      </c>
      <c r="B51" s="10" t="b">
        <v>0</v>
      </c>
      <c r="C51" s="13" t="s">
        <v>201</v>
      </c>
      <c r="D51" s="13" t="s">
        <v>202</v>
      </c>
      <c r="E51" s="13" t="s">
        <v>203</v>
      </c>
      <c r="F51" s="14">
        <v>3.0</v>
      </c>
      <c r="G51" s="15" t="s">
        <v>204</v>
      </c>
      <c r="H51" s="15" t="s">
        <v>19</v>
      </c>
      <c r="I51" s="15" t="s">
        <v>20</v>
      </c>
      <c r="J51" s="15" t="s">
        <v>21</v>
      </c>
      <c r="K51" s="13" t="s">
        <v>150</v>
      </c>
      <c r="L51" s="13" t="s">
        <v>205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13" t="s">
        <v>35</v>
      </c>
      <c r="B52" s="10" t="b">
        <v>0</v>
      </c>
      <c r="C52" s="13" t="s">
        <v>206</v>
      </c>
      <c r="D52" s="13" t="s">
        <v>207</v>
      </c>
      <c r="E52" s="13" t="s">
        <v>208</v>
      </c>
      <c r="F52" s="14">
        <v>1.0</v>
      </c>
      <c r="G52" s="15" t="s">
        <v>209</v>
      </c>
      <c r="H52" s="15" t="s">
        <v>19</v>
      </c>
      <c r="I52" s="15" t="s">
        <v>20</v>
      </c>
      <c r="J52" s="15" t="s">
        <v>21</v>
      </c>
      <c r="K52" s="13" t="s">
        <v>150</v>
      </c>
      <c r="L52" s="13" t="s">
        <v>210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2"/>
      <c r="B54" s="2"/>
      <c r="C54" s="21" t="s">
        <v>211</v>
      </c>
      <c r="D54" s="2"/>
      <c r="E54" s="2"/>
      <c r="F54" s="22">
        <f>SUMPRODUCT(((A4:A52="Keep")+(A4:A52="Changed (approved)")+(A4:A52="New (approved)"))*F4:F52)</f>
        <v>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2"/>
      <c r="B55" s="2"/>
      <c r="C55" s="21" t="s">
        <v>212</v>
      </c>
      <c r="D55" s="2"/>
      <c r="E55" s="2"/>
      <c r="F55" s="22" t="str">
        <f>COUNTIF(H4:H52,"UNIT")&amp;" of "&amp;COUNTA(D4:D52)</f>
        <v>37 of 40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6:L36"/>
    <mergeCell ref="A48:L48"/>
    <mergeCell ref="A4:L4"/>
    <mergeCell ref="A6:L6"/>
    <mergeCell ref="A11:L11"/>
    <mergeCell ref="A18:L18"/>
    <mergeCell ref="A21:L21"/>
    <mergeCell ref="A24:L24"/>
    <mergeCell ref="A29:L29"/>
  </mergeCells>
  <hyperlinks>
    <hyperlink r:id="rId1" ref="G5"/>
    <hyperlink r:id="rId2" ref="H5"/>
    <hyperlink r:id="rId3" ref="I5"/>
    <hyperlink r:id="rId4" ref="J5"/>
    <hyperlink r:id="rId5" ref="K5"/>
    <hyperlink r:id="rId6" ref="G7"/>
    <hyperlink r:id="rId7" ref="H7"/>
    <hyperlink r:id="rId8" ref="I7"/>
    <hyperlink r:id="rId9" ref="J7"/>
    <hyperlink r:id="rId10" ref="K7"/>
    <hyperlink r:id="rId11" ref="G8"/>
    <hyperlink r:id="rId12" ref="H8"/>
    <hyperlink r:id="rId13" ref="I8"/>
    <hyperlink r:id="rId14" ref="J8"/>
    <hyperlink r:id="rId15" ref="K8"/>
    <hyperlink r:id="rId16" ref="G9"/>
    <hyperlink r:id="rId17" ref="H9"/>
    <hyperlink r:id="rId18" ref="I9"/>
    <hyperlink r:id="rId19" ref="J9"/>
    <hyperlink r:id="rId20" ref="K9"/>
    <hyperlink r:id="rId21" ref="G10"/>
    <hyperlink r:id="rId22" ref="H10"/>
    <hyperlink r:id="rId23" ref="I10"/>
    <hyperlink r:id="rId24" ref="J10"/>
    <hyperlink r:id="rId25" ref="K10"/>
    <hyperlink r:id="rId26" ref="G12"/>
    <hyperlink r:id="rId27" ref="H12"/>
    <hyperlink r:id="rId28" ref="I12"/>
    <hyperlink r:id="rId29" ref="J12"/>
    <hyperlink r:id="rId30" ref="K12"/>
    <hyperlink r:id="rId31" ref="G13"/>
    <hyperlink r:id="rId32" ref="H13"/>
    <hyperlink r:id="rId33" ref="I13"/>
    <hyperlink r:id="rId34" ref="J13"/>
    <hyperlink r:id="rId35" ref="K13"/>
    <hyperlink r:id="rId36" ref="G14"/>
    <hyperlink r:id="rId37" ref="H14"/>
    <hyperlink r:id="rId38" ref="I14"/>
    <hyperlink r:id="rId39" ref="J14"/>
    <hyperlink r:id="rId40" ref="K14"/>
    <hyperlink r:id="rId41" ref="G15"/>
    <hyperlink r:id="rId42" ref="H15"/>
    <hyperlink r:id="rId43" ref="I15"/>
    <hyperlink r:id="rId44" ref="J15"/>
    <hyperlink r:id="rId45" ref="K15"/>
    <hyperlink r:id="rId46" ref="G16"/>
    <hyperlink r:id="rId47" ref="I16"/>
    <hyperlink r:id="rId48" ref="J16"/>
    <hyperlink r:id="rId49" ref="K16"/>
    <hyperlink r:id="rId50" ref="G17"/>
    <hyperlink r:id="rId51" ref="H17"/>
    <hyperlink r:id="rId52" ref="I17"/>
    <hyperlink r:id="rId53" ref="J17"/>
    <hyperlink r:id="rId54" ref="K17"/>
    <hyperlink r:id="rId55" ref="G19"/>
    <hyperlink r:id="rId56" ref="H19"/>
    <hyperlink r:id="rId57" ref="I19"/>
    <hyperlink r:id="rId58" ref="J19"/>
    <hyperlink r:id="rId59" ref="K19"/>
    <hyperlink r:id="rId60" ref="G20"/>
    <hyperlink r:id="rId61" ref="I20"/>
    <hyperlink r:id="rId62" ref="J20"/>
    <hyperlink r:id="rId63" ref="K20"/>
    <hyperlink r:id="rId64" ref="G22"/>
    <hyperlink r:id="rId65" ref="I22"/>
    <hyperlink r:id="rId66" ref="J22"/>
    <hyperlink r:id="rId67" ref="K22"/>
    <hyperlink r:id="rId68" ref="G23"/>
    <hyperlink r:id="rId69" ref="H23"/>
    <hyperlink r:id="rId70" ref="I23"/>
    <hyperlink r:id="rId71" ref="J23"/>
    <hyperlink r:id="rId72" ref="K23"/>
    <hyperlink r:id="rId73" ref="G25"/>
    <hyperlink r:id="rId74" ref="H25"/>
    <hyperlink r:id="rId75" ref="I25"/>
    <hyperlink r:id="rId76" ref="J25"/>
    <hyperlink r:id="rId77" ref="K25"/>
    <hyperlink r:id="rId78" ref="G26"/>
    <hyperlink r:id="rId79" ref="H26"/>
    <hyperlink r:id="rId80" ref="I26"/>
    <hyperlink r:id="rId81" ref="J26"/>
    <hyperlink r:id="rId82" ref="K26"/>
    <hyperlink r:id="rId83" ref="G27"/>
    <hyperlink r:id="rId84" ref="H27"/>
    <hyperlink r:id="rId85" ref="I27"/>
    <hyperlink r:id="rId86" ref="J27"/>
    <hyperlink r:id="rId87" ref="K27"/>
    <hyperlink r:id="rId88" ref="G28"/>
    <hyperlink r:id="rId89" ref="H28"/>
    <hyperlink r:id="rId90" ref="I28"/>
    <hyperlink r:id="rId91" ref="J28"/>
    <hyperlink r:id="rId92" ref="K28"/>
    <hyperlink r:id="rId93" ref="G30"/>
    <hyperlink r:id="rId94" ref="H30"/>
    <hyperlink r:id="rId95" ref="I30"/>
    <hyperlink r:id="rId96" ref="J30"/>
    <hyperlink r:id="rId97" ref="K30"/>
    <hyperlink r:id="rId98" ref="G31"/>
    <hyperlink r:id="rId99" ref="H31"/>
    <hyperlink r:id="rId100" ref="I31"/>
    <hyperlink r:id="rId101" ref="J31"/>
    <hyperlink r:id="rId102" ref="K31"/>
    <hyperlink r:id="rId103" ref="G32"/>
    <hyperlink r:id="rId104" ref="H32"/>
    <hyperlink r:id="rId105" ref="I32"/>
    <hyperlink r:id="rId106" ref="J32"/>
    <hyperlink r:id="rId107" ref="K32"/>
    <hyperlink r:id="rId108" ref="G33"/>
    <hyperlink r:id="rId109" ref="H33"/>
    <hyperlink r:id="rId110" ref="I33"/>
    <hyperlink r:id="rId111" ref="J33"/>
    <hyperlink r:id="rId112" ref="K33"/>
    <hyperlink r:id="rId113" ref="G34"/>
    <hyperlink r:id="rId114" ref="H34"/>
    <hyperlink r:id="rId115" ref="I34"/>
    <hyperlink r:id="rId116" ref="J34"/>
    <hyperlink r:id="rId117" ref="K34"/>
    <hyperlink r:id="rId118" ref="G35"/>
    <hyperlink r:id="rId119" ref="H35"/>
    <hyperlink r:id="rId120" ref="I35"/>
    <hyperlink r:id="rId121" ref="J35"/>
    <hyperlink r:id="rId122" ref="K35"/>
    <hyperlink r:id="rId123" ref="G37"/>
    <hyperlink r:id="rId124" ref="H37"/>
    <hyperlink r:id="rId125" ref="I37"/>
    <hyperlink r:id="rId126" ref="J37"/>
    <hyperlink r:id="rId127" ref="G38"/>
    <hyperlink r:id="rId128" ref="H38"/>
    <hyperlink r:id="rId129" ref="I38"/>
    <hyperlink r:id="rId130" ref="J38"/>
    <hyperlink r:id="rId131" ref="G39"/>
    <hyperlink r:id="rId132" ref="H39"/>
    <hyperlink r:id="rId133" ref="I39"/>
    <hyperlink r:id="rId134" ref="J39"/>
    <hyperlink r:id="rId135" ref="G40"/>
    <hyperlink r:id="rId136" ref="H40"/>
    <hyperlink r:id="rId137" ref="I40"/>
    <hyperlink r:id="rId138" ref="J40"/>
    <hyperlink r:id="rId139" ref="G41"/>
    <hyperlink r:id="rId140" ref="H41"/>
    <hyperlink r:id="rId141" ref="I41"/>
    <hyperlink r:id="rId142" ref="J41"/>
    <hyperlink r:id="rId143" ref="G42"/>
    <hyperlink r:id="rId144" ref="H42"/>
    <hyperlink r:id="rId145" ref="I42"/>
    <hyperlink r:id="rId146" ref="J42"/>
    <hyperlink r:id="rId147" ref="G43"/>
    <hyperlink r:id="rId148" ref="H43"/>
    <hyperlink r:id="rId149" ref="I43"/>
    <hyperlink r:id="rId150" ref="J43"/>
    <hyperlink r:id="rId151" ref="G44"/>
    <hyperlink r:id="rId152" ref="H44"/>
    <hyperlink r:id="rId153" ref="I44"/>
    <hyperlink r:id="rId154" ref="J44"/>
    <hyperlink r:id="rId155" ref="G45"/>
    <hyperlink r:id="rId156" ref="H45"/>
    <hyperlink r:id="rId157" ref="I45"/>
    <hyperlink r:id="rId158" ref="J45"/>
    <hyperlink r:id="rId159" ref="G46"/>
    <hyperlink r:id="rId160" ref="H46"/>
    <hyperlink r:id="rId161" ref="I46"/>
    <hyperlink r:id="rId162" ref="J46"/>
    <hyperlink r:id="rId163" ref="G47"/>
    <hyperlink r:id="rId164" ref="H47"/>
    <hyperlink r:id="rId165" ref="I47"/>
    <hyperlink r:id="rId166" ref="J47"/>
    <hyperlink r:id="rId167" ref="G49"/>
    <hyperlink r:id="rId168" ref="H49"/>
    <hyperlink r:id="rId169" ref="I49"/>
    <hyperlink r:id="rId170" ref="J49"/>
    <hyperlink r:id="rId171" ref="G50"/>
    <hyperlink r:id="rId172" ref="H50"/>
    <hyperlink r:id="rId173" ref="I50"/>
    <hyperlink r:id="rId174" ref="J50"/>
    <hyperlink r:id="rId175" ref="G51"/>
    <hyperlink r:id="rId176" ref="H51"/>
    <hyperlink r:id="rId177" ref="I51"/>
    <hyperlink r:id="rId178" ref="J51"/>
    <hyperlink r:id="rId179" ref="G52"/>
    <hyperlink r:id="rId180" ref="H52"/>
    <hyperlink r:id="rId181" ref="I52"/>
    <hyperlink r:id="rId182" ref="J52"/>
  </hyperlinks>
  <printOptions/>
  <pageMargins bottom="1.0" footer="0.0" header="0.0" left="0.75" right="0.75" top="1.0"/>
  <pageSetup paperSize="9" orientation="portrait"/>
  <drawing r:id="rId183"/>
</worksheet>
</file>